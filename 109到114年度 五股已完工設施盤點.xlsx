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Z:\03-農業發展與水資源保育\04-個人工作備份\杜柏叡\農水設計組\02-五股\五股灌溉系統網站\"/>
    </mc:Choice>
  </mc:AlternateContent>
  <xr:revisionPtr revIDLastSave="0" documentId="13_ncr:1_{E0D8CF58-412E-4726-9A51-857BAE7CF7CA}" xr6:coauthVersionLast="47" xr6:coauthVersionMax="47" xr10:uidLastSave="{00000000-0000-0000-0000-000000000000}"/>
  <bookViews>
    <workbookView xWindow="-120" yWindow="-120" windowWidth="29040" windowHeight="15720" activeTab="1" xr2:uid="{A2862070-784E-45A9-AD87-022E2482076D}"/>
  </bookViews>
  <sheets>
    <sheet name="總表" sheetId="1" r:id="rId1"/>
    <sheet name="缺失樣態" sheetId="2" r:id="rId2"/>
    <sheet name="接管名冊及電話" sheetId="3" r:id="rId3"/>
    <sheet name="設施照片" sheetId="4" r:id="rId4"/>
  </sheets>
  <definedNames>
    <definedName name="_xlnm.Print_Area" localSheetId="0">總表!$A$1:$X$56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1" i="1" l="1"/>
  <c r="L52" i="1"/>
  <c r="L7" i="1"/>
  <c r="L10" i="1"/>
  <c r="L13" i="1"/>
  <c r="L16" i="1"/>
  <c r="L20" i="1"/>
  <c r="L21" i="1"/>
  <c r="L22" i="1"/>
  <c r="L25" i="1"/>
  <c r="L26" i="1"/>
  <c r="L29" i="1"/>
  <c r="L32" i="1"/>
  <c r="L33" i="1"/>
  <c r="L34" i="1"/>
  <c r="L35" i="1"/>
  <c r="L36" i="1"/>
  <c r="L37" i="1"/>
  <c r="L38" i="1"/>
  <c r="L41" i="1"/>
  <c r="L42" i="1"/>
  <c r="L43" i="1"/>
  <c r="L44" i="1"/>
  <c r="L47" i="1"/>
  <c r="L48" i="1"/>
  <c r="L49" i="1"/>
  <c r="L50" i="1"/>
  <c r="L4" i="1"/>
</calcChain>
</file>

<file path=xl/sharedStrings.xml><?xml version="1.0" encoding="utf-8"?>
<sst xmlns="http://schemas.openxmlformats.org/spreadsheetml/2006/main" count="479" uniqueCount="306">
  <si>
    <t xml:space="preserve"> </t>
  </si>
  <si>
    <t>3+1</t>
  </si>
  <si>
    <t>1+1</t>
  </si>
  <si>
    <t>2+1</t>
  </si>
  <si>
    <t>4+2</t>
  </si>
  <si>
    <t>2+2</t>
  </si>
  <si>
    <t>6+2</t>
  </si>
  <si>
    <t>6+2+2</t>
  </si>
  <si>
    <r>
      <rPr>
        <sz val="20"/>
        <color theme="1"/>
        <rFont val="標楷體"/>
        <family val="4"/>
        <charset val="136"/>
      </rPr>
      <t>集水區</t>
    </r>
  </si>
  <si>
    <r>
      <rPr>
        <sz val="20"/>
        <color theme="1"/>
        <rFont val="標楷體"/>
        <family val="4"/>
        <charset val="136"/>
      </rPr>
      <t>高程</t>
    </r>
    <phoneticPr fontId="1" type="noConversion"/>
  </si>
  <si>
    <r>
      <rPr>
        <sz val="20"/>
        <color theme="1"/>
        <rFont val="標楷體"/>
        <family val="4"/>
        <charset val="136"/>
      </rPr>
      <t>推動年</t>
    </r>
  </si>
  <si>
    <r>
      <rPr>
        <sz val="20"/>
        <color theme="1"/>
        <rFont val="標楷體"/>
        <family val="4"/>
        <charset val="136"/>
      </rPr>
      <t>中直坑溪</t>
    </r>
  </si>
  <si>
    <r>
      <t>109</t>
    </r>
    <r>
      <rPr>
        <sz val="20"/>
        <color theme="1"/>
        <rFont val="標楷體"/>
        <family val="4"/>
        <charset val="136"/>
      </rPr>
      <t>年</t>
    </r>
  </si>
  <si>
    <r>
      <t>PP</t>
    </r>
    <r>
      <rPr>
        <sz val="20"/>
        <color theme="1"/>
        <rFont val="標楷體"/>
        <family val="4"/>
        <charset val="136"/>
      </rPr>
      <t>材質蓋板、不可掀</t>
    </r>
  </si>
  <si>
    <r>
      <t>2</t>
    </r>
    <r>
      <rPr>
        <sz val="20"/>
        <color theme="1"/>
        <rFont val="標楷體"/>
        <family val="4"/>
        <charset val="136"/>
      </rPr>
      <t>座白鐵分水箱</t>
    </r>
  </si>
  <si>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)+2(</t>
    </r>
    <r>
      <rPr>
        <sz val="20"/>
        <color theme="1"/>
        <rFont val="標楷體"/>
        <family val="4"/>
        <charset val="136"/>
      </rPr>
      <t>電磁閥</t>
    </r>
    <r>
      <rPr>
        <sz val="20"/>
        <color theme="1"/>
        <rFont val="Times New Roman"/>
        <family val="1"/>
      </rPr>
      <t>)</t>
    </r>
  </si>
  <si>
    <r>
      <rPr>
        <sz val="20"/>
        <color theme="1"/>
        <rFont val="標楷體"/>
        <family val="4"/>
        <charset val="136"/>
      </rPr>
      <t>中</t>
    </r>
    <r>
      <rPr>
        <sz val="20"/>
        <color theme="1"/>
        <rFont val="Times New Roman"/>
        <family val="1"/>
      </rPr>
      <t>W2</t>
    </r>
  </si>
  <si>
    <r>
      <t>110</t>
    </r>
    <r>
      <rPr>
        <sz val="20"/>
        <color theme="1"/>
        <rFont val="標楷體"/>
        <family val="4"/>
        <charset val="136"/>
      </rPr>
      <t>年</t>
    </r>
  </si>
  <si>
    <r>
      <rPr>
        <sz val="20"/>
        <color theme="1"/>
        <rFont val="標楷體"/>
        <family val="4"/>
        <charset val="136"/>
      </rPr>
      <t>中</t>
    </r>
    <r>
      <rPr>
        <sz val="20"/>
        <color theme="1"/>
        <rFont val="Times New Roman"/>
        <family val="1"/>
      </rPr>
      <t>B2</t>
    </r>
  </si>
  <si>
    <r>
      <t>1</t>
    </r>
    <r>
      <rPr>
        <sz val="20"/>
        <color theme="1"/>
        <rFont val="標楷體"/>
        <family val="4"/>
        <charset val="136"/>
      </rPr>
      <t>座</t>
    </r>
    <r>
      <rPr>
        <sz val="20"/>
        <color theme="1"/>
        <rFont val="Times New Roman"/>
        <family val="1"/>
      </rPr>
      <t>3</t>
    </r>
    <r>
      <rPr>
        <sz val="20"/>
        <color theme="1"/>
        <rFont val="標楷體"/>
        <family val="4"/>
        <charset val="136"/>
      </rPr>
      <t>噸臥式白鐵蓄水塔</t>
    </r>
  </si>
  <si>
    <r>
      <rPr>
        <sz val="20"/>
        <color theme="1"/>
        <rFont val="標楷體"/>
        <family val="4"/>
        <charset val="136"/>
      </rPr>
      <t>中</t>
    </r>
    <r>
      <rPr>
        <sz val="20"/>
        <color theme="1"/>
        <rFont val="Times New Roman"/>
        <family val="1"/>
      </rPr>
      <t>2-1</t>
    </r>
  </si>
  <si>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</si>
  <si>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中</t>
    </r>
    <r>
      <rPr>
        <sz val="20"/>
        <color theme="1"/>
        <rFont val="Times New Roman"/>
        <family val="1"/>
      </rPr>
      <t>W3</t>
    </r>
  </si>
  <si>
    <r>
      <t>PP</t>
    </r>
    <r>
      <rPr>
        <sz val="20"/>
        <color theme="1"/>
        <rFont val="標楷體"/>
        <family val="4"/>
        <charset val="136"/>
      </rPr>
      <t>材質蓋板、可掀蓋、可先部分為白鐵</t>
    </r>
  </si>
  <si>
    <r>
      <rPr>
        <sz val="20"/>
        <color theme="1"/>
        <rFont val="標楷體"/>
        <family val="4"/>
        <charset val="136"/>
      </rPr>
      <t>中</t>
    </r>
    <r>
      <rPr>
        <sz val="20"/>
        <color theme="1"/>
        <rFont val="Times New Roman"/>
        <family val="1"/>
      </rPr>
      <t>B3</t>
    </r>
  </si>
  <si>
    <r>
      <rPr>
        <sz val="20"/>
        <color theme="1"/>
        <rFont val="標楷體"/>
        <family val="4"/>
        <charset val="136"/>
      </rPr>
      <t>中</t>
    </r>
    <r>
      <rPr>
        <sz val="20"/>
        <color theme="1"/>
        <rFont val="Times New Roman"/>
        <family val="1"/>
      </rPr>
      <t>3-1</t>
    </r>
  </si>
  <si>
    <r>
      <rPr>
        <sz val="20"/>
        <color theme="1"/>
        <rFont val="標楷體"/>
        <family val="4"/>
        <charset val="136"/>
      </rPr>
      <t>中</t>
    </r>
    <r>
      <rPr>
        <sz val="20"/>
        <color theme="1"/>
        <rFont val="Times New Roman"/>
        <family val="1"/>
      </rPr>
      <t>W4</t>
    </r>
  </si>
  <si>
    <r>
      <t>111</t>
    </r>
    <r>
      <rPr>
        <sz val="20"/>
        <color theme="1"/>
        <rFont val="標楷體"/>
        <family val="4"/>
        <charset val="136"/>
      </rPr>
      <t>年</t>
    </r>
  </si>
  <si>
    <r>
      <rPr>
        <sz val="20"/>
        <color theme="1"/>
        <rFont val="標楷體"/>
        <family val="4"/>
        <charset val="136"/>
      </rPr>
      <t>白鐵蓋板、不可掀</t>
    </r>
  </si>
  <si>
    <r>
      <rPr>
        <sz val="20"/>
        <color theme="1"/>
        <rFont val="標楷體"/>
        <family val="4"/>
        <charset val="136"/>
      </rPr>
      <t>中</t>
    </r>
    <r>
      <rPr>
        <sz val="20"/>
        <color theme="1"/>
        <rFont val="Times New Roman"/>
        <family val="1"/>
      </rPr>
      <t>B4</t>
    </r>
  </si>
  <si>
    <r>
      <rPr>
        <sz val="20"/>
        <color theme="1"/>
        <rFont val="標楷體"/>
        <family val="4"/>
        <charset val="136"/>
      </rPr>
      <t>中</t>
    </r>
    <r>
      <rPr>
        <sz val="20"/>
        <color theme="1"/>
        <rFont val="Times New Roman"/>
        <family val="1"/>
      </rPr>
      <t>4-1</t>
    </r>
  </si>
  <si>
    <r>
      <t>4(</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</si>
  <si>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中</t>
    </r>
    <r>
      <rPr>
        <sz val="20"/>
        <color theme="1"/>
        <rFont val="Times New Roman"/>
        <family val="1"/>
      </rPr>
      <t>W5</t>
    </r>
  </si>
  <si>
    <r>
      <rPr>
        <sz val="20"/>
        <color theme="1"/>
        <rFont val="標楷體"/>
        <family val="4"/>
        <charset val="136"/>
      </rPr>
      <t>中</t>
    </r>
    <r>
      <rPr>
        <sz val="20"/>
        <color theme="1"/>
        <rFont val="Times New Roman"/>
        <family val="1"/>
      </rPr>
      <t>B5</t>
    </r>
  </si>
  <si>
    <r>
      <t>1</t>
    </r>
    <r>
      <rPr>
        <sz val="20"/>
        <color theme="1"/>
        <rFont val="標楷體"/>
        <family val="4"/>
        <charset val="136"/>
      </rPr>
      <t>座白鐵分水箱</t>
    </r>
    <r>
      <rPr>
        <sz val="20"/>
        <color theme="1"/>
        <rFont val="Times New Roman"/>
        <family val="1"/>
      </rPr>
      <t>+</t>
    </r>
    <r>
      <rPr>
        <sz val="20"/>
        <color theme="1"/>
        <rFont val="標楷體"/>
        <family val="4"/>
        <charset val="136"/>
      </rPr>
      <t>跨河道鋼構橋</t>
    </r>
  </si>
  <si>
    <r>
      <rPr>
        <sz val="20"/>
        <color theme="1"/>
        <rFont val="標楷體"/>
        <family val="4"/>
        <charset val="136"/>
      </rPr>
      <t>中</t>
    </r>
    <r>
      <rPr>
        <sz val="20"/>
        <color theme="1"/>
        <rFont val="Times New Roman"/>
        <family val="1"/>
      </rPr>
      <t>5-1</t>
    </r>
  </si>
  <si>
    <r>
      <rPr>
        <sz val="20"/>
        <color theme="1"/>
        <rFont val="標楷體"/>
        <family val="4"/>
        <charset val="136"/>
      </rPr>
      <t>崩山坑溪</t>
    </r>
  </si>
  <si>
    <r>
      <rPr>
        <sz val="20"/>
        <color theme="1"/>
        <rFont val="標楷體"/>
        <family val="4"/>
        <charset val="136"/>
      </rPr>
      <t>崩</t>
    </r>
    <r>
      <rPr>
        <sz val="20"/>
        <color theme="1"/>
        <rFont val="Times New Roman"/>
        <family val="1"/>
      </rPr>
      <t>W1</t>
    </r>
  </si>
  <si>
    <r>
      <rPr>
        <sz val="20"/>
        <color theme="1"/>
        <rFont val="標楷體"/>
        <family val="4"/>
        <charset val="136"/>
      </rPr>
      <t>白鐵蓋板、可掀蓋、可先部分為</t>
    </r>
    <r>
      <rPr>
        <sz val="20"/>
        <color theme="1"/>
        <rFont val="Times New Roman"/>
        <family val="1"/>
      </rPr>
      <t>114</t>
    </r>
    <r>
      <rPr>
        <sz val="20"/>
        <color theme="1"/>
        <rFont val="標楷體"/>
        <family val="4"/>
        <charset val="136"/>
      </rPr>
      <t>更</t>
    </r>
  </si>
  <si>
    <r>
      <rPr>
        <sz val="20"/>
        <color theme="1"/>
        <rFont val="標楷體"/>
        <family val="4"/>
        <charset val="136"/>
      </rPr>
      <t>崩</t>
    </r>
    <r>
      <rPr>
        <sz val="20"/>
        <color theme="1"/>
        <rFont val="Times New Roman"/>
        <family val="1"/>
      </rPr>
      <t>B1-1</t>
    </r>
  </si>
  <si>
    <r>
      <t>1</t>
    </r>
    <r>
      <rPr>
        <sz val="20"/>
        <color theme="1"/>
        <rFont val="標楷體"/>
        <family val="4"/>
        <charset val="136"/>
      </rPr>
      <t>座白鐵分水箱</t>
    </r>
  </si>
  <si>
    <r>
      <rPr>
        <sz val="20"/>
        <color theme="1"/>
        <rFont val="標楷體"/>
        <family val="4"/>
        <charset val="136"/>
      </rPr>
      <t>崩</t>
    </r>
    <r>
      <rPr>
        <sz val="20"/>
        <color theme="1"/>
        <rFont val="Times New Roman"/>
        <family val="1"/>
      </rPr>
      <t>B1-2</t>
    </r>
  </si>
  <si>
    <r>
      <rPr>
        <sz val="20"/>
        <color theme="1"/>
        <rFont val="標楷體"/>
        <family val="4"/>
        <charset val="136"/>
      </rPr>
      <t>崩</t>
    </r>
    <r>
      <rPr>
        <sz val="20"/>
        <color theme="1"/>
        <rFont val="Times New Roman"/>
        <family val="1"/>
      </rPr>
      <t>1-1</t>
    </r>
  </si>
  <si>
    <r>
      <t>113</t>
    </r>
    <r>
      <rPr>
        <sz val="20"/>
        <color theme="1"/>
        <rFont val="標楷體"/>
        <family val="4"/>
        <charset val="136"/>
      </rPr>
      <t>年</t>
    </r>
  </si>
  <si>
    <r>
      <rPr>
        <sz val="20"/>
        <color theme="1"/>
        <rFont val="標楷體"/>
        <family val="4"/>
        <charset val="136"/>
      </rPr>
      <t>吳明月用</t>
    </r>
  </si>
  <si>
    <r>
      <rPr>
        <sz val="20"/>
        <color theme="1"/>
        <rFont val="標楷體"/>
        <family val="4"/>
        <charset val="136"/>
      </rPr>
      <t>崩</t>
    </r>
    <r>
      <rPr>
        <sz val="20"/>
        <color theme="1"/>
        <rFont val="Times New Roman"/>
        <family val="1"/>
      </rPr>
      <t>1-2</t>
    </r>
  </si>
  <si>
    <r>
      <t>3(</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</si>
  <si>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1-3</t>
    </r>
  </si>
  <si>
    <r>
      <t>1(</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</si>
  <si>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W2</t>
    </r>
  </si>
  <si>
    <r>
      <rPr>
        <sz val="20"/>
        <color theme="1"/>
        <rFont val="標楷體"/>
        <family val="4"/>
        <charset val="136"/>
      </rPr>
      <t>崩</t>
    </r>
    <r>
      <rPr>
        <sz val="20"/>
        <color theme="1"/>
        <rFont val="Times New Roman"/>
        <family val="1"/>
      </rPr>
      <t>B2</t>
    </r>
  </si>
  <si>
    <r>
      <t>1</t>
    </r>
    <r>
      <rPr>
        <sz val="20"/>
        <color theme="1"/>
        <rFont val="標楷體"/>
        <family val="4"/>
        <charset val="136"/>
      </rPr>
      <t>座白鐵分水箱</t>
    </r>
    <r>
      <rPr>
        <sz val="20"/>
        <color theme="1"/>
        <rFont val="Times New Roman"/>
        <family val="1"/>
      </rPr>
      <t>(</t>
    </r>
    <r>
      <rPr>
        <sz val="20"/>
        <color theme="1"/>
        <rFont val="標楷體"/>
        <family val="4"/>
        <charset val="136"/>
      </rPr>
      <t>架高以利後續溢流管銜</t>
    </r>
  </si>
  <si>
    <r>
      <rPr>
        <sz val="20"/>
        <color theme="1"/>
        <rFont val="標楷體"/>
        <family val="4"/>
        <charset val="136"/>
      </rPr>
      <t>崩</t>
    </r>
    <r>
      <rPr>
        <sz val="20"/>
        <color theme="1"/>
        <rFont val="Times New Roman"/>
        <family val="1"/>
      </rPr>
      <t>2-1</t>
    </r>
  </si>
  <si>
    <r>
      <t>2(</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</si>
  <si>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2-2</t>
    </r>
  </si>
  <si>
    <r>
      <rPr>
        <sz val="20"/>
        <color theme="1"/>
        <rFont val="標楷體"/>
        <family val="4"/>
        <charset val="136"/>
      </rPr>
      <t>崩</t>
    </r>
    <r>
      <rPr>
        <sz val="20"/>
        <color theme="1"/>
        <rFont val="Times New Roman"/>
        <family val="1"/>
      </rPr>
      <t>W3</t>
    </r>
  </si>
  <si>
    <r>
      <rPr>
        <sz val="20"/>
        <color theme="1"/>
        <rFont val="標楷體"/>
        <family val="4"/>
        <charset val="136"/>
      </rPr>
      <t>崩</t>
    </r>
    <r>
      <rPr>
        <sz val="20"/>
        <color theme="1"/>
        <rFont val="Times New Roman"/>
        <family val="1"/>
      </rPr>
      <t>B3</t>
    </r>
  </si>
  <si>
    <r>
      <rPr>
        <sz val="20"/>
        <color theme="1"/>
        <rFont val="標楷體"/>
        <family val="4"/>
        <charset val="136"/>
      </rPr>
      <t>崩</t>
    </r>
    <r>
      <rPr>
        <sz val="20"/>
        <color theme="1"/>
        <rFont val="Times New Roman"/>
        <family val="1"/>
      </rPr>
      <t>3-1</t>
    </r>
  </si>
  <si>
    <r>
      <rPr>
        <sz val="20"/>
        <color theme="1"/>
        <rFont val="標楷體"/>
        <family val="4"/>
        <charset val="136"/>
      </rPr>
      <t>崩</t>
    </r>
    <r>
      <rPr>
        <sz val="20"/>
        <color theme="1"/>
        <rFont val="Times New Roman"/>
        <family val="1"/>
      </rPr>
      <t>W4</t>
    </r>
  </si>
  <si>
    <r>
      <rPr>
        <sz val="20"/>
        <color theme="1"/>
        <rFont val="標楷體"/>
        <family val="4"/>
        <charset val="136"/>
      </rPr>
      <t>白鐵蓋板、可掀蓋、</t>
    </r>
    <r>
      <rPr>
        <sz val="20"/>
        <color theme="1"/>
        <rFont val="Times New Roman"/>
        <family val="1"/>
      </rPr>
      <t>2</t>
    </r>
    <r>
      <rPr>
        <sz val="20"/>
        <color theme="1"/>
        <rFont val="標楷體"/>
        <family val="4"/>
        <charset val="136"/>
      </rPr>
      <t>座用聯通管銜接</t>
    </r>
  </si>
  <si>
    <r>
      <rPr>
        <sz val="20"/>
        <color theme="1"/>
        <rFont val="標楷體"/>
        <family val="4"/>
        <charset val="136"/>
      </rPr>
      <t>崩</t>
    </r>
    <r>
      <rPr>
        <sz val="20"/>
        <color theme="1"/>
        <rFont val="Times New Roman"/>
        <family val="1"/>
      </rPr>
      <t>B4</t>
    </r>
  </si>
  <si>
    <r>
      <rPr>
        <sz val="20"/>
        <color theme="1"/>
        <rFont val="標楷體"/>
        <family val="4"/>
        <charset val="136"/>
      </rPr>
      <t>崩</t>
    </r>
    <r>
      <rPr>
        <sz val="20"/>
        <color theme="1"/>
        <rFont val="Times New Roman"/>
        <family val="1"/>
      </rPr>
      <t>4-1</t>
    </r>
  </si>
  <si>
    <r>
      <rPr>
        <sz val="20"/>
        <color theme="1"/>
        <rFont val="標楷體"/>
        <family val="4"/>
        <charset val="136"/>
      </rPr>
      <t>崩</t>
    </r>
    <r>
      <rPr>
        <sz val="20"/>
        <color theme="1"/>
        <rFont val="Times New Roman"/>
        <family val="1"/>
      </rPr>
      <t>4-2</t>
    </r>
  </si>
  <si>
    <r>
      <t>2(</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</si>
  <si>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4-3</t>
    </r>
  </si>
  <si>
    <r>
      <rPr>
        <sz val="20"/>
        <color theme="1"/>
        <rFont val="標楷體"/>
        <family val="4"/>
        <charset val="136"/>
      </rPr>
      <t>陳永輝</t>
    </r>
  </si>
  <si>
    <r>
      <rPr>
        <sz val="20"/>
        <color theme="1"/>
        <rFont val="標楷體"/>
        <family val="4"/>
        <charset val="136"/>
      </rPr>
      <t>崩</t>
    </r>
    <r>
      <rPr>
        <sz val="20"/>
        <color theme="1"/>
        <rFont val="Times New Roman"/>
        <family val="1"/>
      </rPr>
      <t>4-4</t>
    </r>
  </si>
  <si>
    <r>
      <t>2(</t>
    </r>
    <r>
      <rPr>
        <sz val="20"/>
        <color theme="1"/>
        <rFont val="標楷體"/>
        <family val="4"/>
        <charset val="136"/>
      </rPr>
      <t>可接管</t>
    </r>
    <r>
      <rPr>
        <sz val="20"/>
        <color theme="1"/>
        <rFont val="Times New Roman"/>
        <family val="1"/>
      </rPr>
      <t>)</t>
    </r>
  </si>
  <si>
    <r>
      <rPr>
        <sz val="20"/>
        <color theme="1"/>
        <rFont val="標楷體"/>
        <family val="4"/>
        <charset val="136"/>
      </rPr>
      <t>崩</t>
    </r>
    <r>
      <rPr>
        <sz val="20"/>
        <color theme="1"/>
        <rFont val="Times New Roman"/>
        <family val="1"/>
      </rPr>
      <t>4-5</t>
    </r>
  </si>
  <si>
    <r>
      <rPr>
        <sz val="20"/>
        <color theme="1"/>
        <rFont val="標楷體"/>
        <family val="4"/>
        <charset val="136"/>
      </rPr>
      <t>戴榮讓</t>
    </r>
  </si>
  <si>
    <r>
      <rPr>
        <sz val="20"/>
        <color theme="1"/>
        <rFont val="標楷體"/>
        <family val="4"/>
        <charset val="136"/>
      </rPr>
      <t>崩</t>
    </r>
    <r>
      <rPr>
        <sz val="20"/>
        <color theme="1"/>
        <rFont val="Times New Roman"/>
        <family val="1"/>
      </rPr>
      <t>4-6</t>
    </r>
  </si>
  <si>
    <r>
      <rPr>
        <sz val="20"/>
        <color theme="1"/>
        <rFont val="標楷體"/>
        <family val="4"/>
        <charset val="136"/>
      </rPr>
      <t>崩</t>
    </r>
    <r>
      <rPr>
        <sz val="20"/>
        <color theme="1"/>
        <rFont val="Times New Roman"/>
        <family val="1"/>
      </rPr>
      <t>4-7</t>
    </r>
    <r>
      <rPr>
        <sz val="20"/>
        <color theme="1"/>
        <rFont val="標楷體"/>
        <family val="4"/>
        <charset val="136"/>
      </rPr>
      <t>、</t>
    </r>
    <r>
      <rPr>
        <sz val="20"/>
        <color theme="1"/>
        <rFont val="Times New Roman"/>
        <family val="1"/>
      </rPr>
      <t>8</t>
    </r>
  </si>
  <si>
    <r>
      <t>1.5"</t>
    </r>
    <r>
      <rPr>
        <sz val="20"/>
        <color theme="1"/>
        <rFont val="標楷體"/>
        <family val="4"/>
        <charset val="136"/>
      </rPr>
      <t>左岸下游</t>
    </r>
    <r>
      <rPr>
        <sz val="20"/>
        <color theme="1"/>
        <rFont val="Times New Roman"/>
        <family val="1"/>
      </rPr>
      <t>(</t>
    </r>
    <r>
      <rPr>
        <sz val="20"/>
        <color theme="1"/>
        <rFont val="標楷體"/>
        <family val="4"/>
        <charset val="136"/>
      </rPr>
      <t>預計給陳福</t>
    </r>
    <r>
      <rPr>
        <sz val="20"/>
        <color theme="1"/>
        <rFont val="Times New Roman"/>
        <family val="1"/>
      </rPr>
      <t>)</t>
    </r>
    <r>
      <rPr>
        <sz val="20"/>
        <color theme="1"/>
        <rFont val="標楷體"/>
        <family val="4"/>
        <charset val="136"/>
      </rPr>
      <t>、</t>
    </r>
    <r>
      <rPr>
        <sz val="20"/>
        <color theme="1"/>
        <rFont val="Times New Roman"/>
        <family val="1"/>
      </rPr>
      <t>1"</t>
    </r>
    <r>
      <rPr>
        <sz val="20"/>
        <color theme="1"/>
        <rFont val="標楷體"/>
        <family val="4"/>
        <charset val="136"/>
      </rPr>
      <t>右岸下游</t>
    </r>
  </si>
  <si>
    <r>
      <rPr>
        <sz val="20"/>
        <color theme="1"/>
        <rFont val="標楷體"/>
        <family val="4"/>
        <charset val="136"/>
      </rPr>
      <t>崩</t>
    </r>
    <r>
      <rPr>
        <sz val="20"/>
        <color theme="1"/>
        <rFont val="Times New Roman"/>
        <family val="1"/>
      </rPr>
      <t>W5</t>
    </r>
  </si>
  <si>
    <r>
      <t>114</t>
    </r>
    <r>
      <rPr>
        <sz val="20"/>
        <color theme="1"/>
        <rFont val="標楷體"/>
        <family val="4"/>
        <charset val="136"/>
      </rPr>
      <t>年</t>
    </r>
  </si>
  <si>
    <r>
      <rPr>
        <sz val="20"/>
        <color theme="1"/>
        <rFont val="標楷體"/>
        <family val="4"/>
        <charset val="136"/>
      </rPr>
      <t>崩</t>
    </r>
    <r>
      <rPr>
        <sz val="20"/>
        <color theme="1"/>
        <rFont val="Times New Roman"/>
        <family val="1"/>
      </rPr>
      <t>B5</t>
    </r>
  </si>
  <si>
    <r>
      <t>1</t>
    </r>
    <r>
      <rPr>
        <sz val="20"/>
        <color theme="1"/>
        <rFont val="標楷體"/>
        <family val="4"/>
        <charset val="136"/>
      </rPr>
      <t>座</t>
    </r>
    <r>
      <rPr>
        <sz val="20"/>
        <color theme="1"/>
        <rFont val="Times New Roman"/>
        <family val="1"/>
      </rPr>
      <t>1</t>
    </r>
    <r>
      <rPr>
        <sz val="20"/>
        <color theme="1"/>
        <rFont val="標楷體"/>
        <family val="4"/>
        <charset val="136"/>
      </rPr>
      <t>噸白鐵蓄水塔</t>
    </r>
  </si>
  <si>
    <r>
      <rPr>
        <sz val="20"/>
        <color theme="1"/>
        <rFont val="標楷體"/>
        <family val="4"/>
        <charset val="136"/>
      </rPr>
      <t>崩</t>
    </r>
    <r>
      <rPr>
        <sz val="20"/>
        <color theme="1"/>
        <rFont val="Times New Roman"/>
        <family val="1"/>
      </rPr>
      <t>5-1</t>
    </r>
  </si>
  <si>
    <r>
      <rPr>
        <sz val="20"/>
        <color theme="1"/>
        <rFont val="標楷體"/>
        <family val="4"/>
        <charset val="136"/>
      </rPr>
      <t>崩</t>
    </r>
    <r>
      <rPr>
        <sz val="20"/>
        <color theme="1"/>
        <rFont val="Times New Roman"/>
        <family val="1"/>
      </rPr>
      <t>5-2</t>
    </r>
  </si>
  <si>
    <r>
      <rPr>
        <sz val="20"/>
        <color theme="1"/>
        <rFont val="標楷體"/>
        <family val="4"/>
        <charset val="136"/>
      </rPr>
      <t>總幹事建議預留管頭，未來私有地有</t>
    </r>
  </si>
  <si>
    <r>
      <rPr>
        <sz val="20"/>
        <color theme="1"/>
        <rFont val="標楷體"/>
        <family val="4"/>
        <charset val="136"/>
      </rPr>
      <t>崩</t>
    </r>
    <r>
      <rPr>
        <sz val="20"/>
        <color theme="1"/>
        <rFont val="Times New Roman"/>
        <family val="1"/>
      </rPr>
      <t>5-3</t>
    </r>
  </si>
  <si>
    <r>
      <t>1(</t>
    </r>
    <r>
      <rPr>
        <sz val="20"/>
        <color theme="1"/>
        <rFont val="標楷體"/>
        <family val="4"/>
        <charset val="136"/>
      </rPr>
      <t>可接管</t>
    </r>
    <r>
      <rPr>
        <sz val="20"/>
        <color theme="1"/>
        <rFont val="Times New Roman"/>
        <family val="1"/>
      </rPr>
      <t>)(</t>
    </r>
    <r>
      <rPr>
        <sz val="20"/>
        <color theme="1"/>
        <rFont val="標楷體"/>
        <family val="4"/>
        <charset val="136"/>
      </rPr>
      <t>兩兄弟共用</t>
    </r>
    <r>
      <rPr>
        <sz val="20"/>
        <color theme="1"/>
        <rFont val="Times New Roman"/>
        <family val="1"/>
      </rPr>
      <t>\)</t>
    </r>
  </si>
  <si>
    <r>
      <rPr>
        <sz val="20"/>
        <color theme="1"/>
        <rFont val="標楷體"/>
        <family val="4"/>
        <charset val="136"/>
      </rPr>
      <t>崩</t>
    </r>
    <r>
      <rPr>
        <sz val="20"/>
        <color theme="1"/>
        <rFont val="Times New Roman"/>
        <family val="1"/>
      </rPr>
      <t>5-4</t>
    </r>
  </si>
  <si>
    <r>
      <rPr>
        <sz val="20"/>
        <color theme="1"/>
        <rFont val="標楷體"/>
        <family val="4"/>
        <charset val="136"/>
      </rPr>
      <t>崩</t>
    </r>
    <r>
      <rPr>
        <sz val="20"/>
        <color theme="1"/>
        <rFont val="Times New Roman"/>
        <family val="1"/>
      </rPr>
      <t>W6</t>
    </r>
  </si>
  <si>
    <r>
      <rPr>
        <sz val="20"/>
        <color theme="1"/>
        <rFont val="標楷體"/>
        <family val="4"/>
        <charset val="136"/>
      </rPr>
      <t>白鐵蓋板、可掀蓋</t>
    </r>
  </si>
  <si>
    <r>
      <rPr>
        <sz val="20"/>
        <color theme="1"/>
        <rFont val="標楷體"/>
        <family val="4"/>
        <charset val="136"/>
      </rPr>
      <t>崩</t>
    </r>
    <r>
      <rPr>
        <sz val="20"/>
        <color theme="1"/>
        <rFont val="Times New Roman"/>
        <family val="1"/>
      </rPr>
      <t>B6</t>
    </r>
  </si>
  <si>
    <r>
      <rPr>
        <sz val="20"/>
        <color theme="1"/>
        <rFont val="標楷體"/>
        <family val="4"/>
        <charset val="136"/>
      </rPr>
      <t>崩</t>
    </r>
    <r>
      <rPr>
        <sz val="20"/>
        <color theme="1"/>
        <rFont val="Times New Roman"/>
        <family val="1"/>
      </rPr>
      <t>6-1</t>
    </r>
  </si>
  <si>
    <r>
      <rPr>
        <sz val="20"/>
        <color theme="1"/>
        <rFont val="標楷體"/>
        <family val="4"/>
        <charset val="136"/>
      </rPr>
      <t>分水箱旁農地用</t>
    </r>
  </si>
  <si>
    <r>
      <rPr>
        <sz val="20"/>
        <color theme="1"/>
        <rFont val="標楷體"/>
        <family val="4"/>
        <charset val="136"/>
      </rPr>
      <t>崩</t>
    </r>
    <r>
      <rPr>
        <sz val="20"/>
        <color theme="1"/>
        <rFont val="Times New Roman"/>
        <family val="1"/>
      </rPr>
      <t>6-2</t>
    </r>
  </si>
  <si>
    <r>
      <t>1(</t>
    </r>
    <r>
      <rPr>
        <sz val="20"/>
        <color theme="1"/>
        <rFont val="標楷體"/>
        <family val="4"/>
        <charset val="136"/>
      </rPr>
      <t>可接管</t>
    </r>
    <r>
      <rPr>
        <sz val="20"/>
        <color theme="1"/>
        <rFont val="Times New Roman"/>
        <family val="1"/>
      </rPr>
      <t>)</t>
    </r>
  </si>
  <si>
    <r>
      <rPr>
        <sz val="20"/>
        <color theme="1"/>
        <rFont val="標楷體"/>
        <family val="4"/>
        <charset val="136"/>
      </rPr>
      <t>崩</t>
    </r>
    <r>
      <rPr>
        <sz val="20"/>
        <color theme="1"/>
        <rFont val="Times New Roman"/>
        <family val="1"/>
      </rPr>
      <t>6-3</t>
    </r>
  </si>
  <si>
    <r>
      <rPr>
        <sz val="20"/>
        <color theme="1"/>
        <rFont val="標楷體"/>
        <family val="4"/>
        <charset val="136"/>
      </rPr>
      <t>崩</t>
    </r>
    <r>
      <rPr>
        <sz val="20"/>
        <color theme="1"/>
        <rFont val="Times New Roman"/>
        <family val="1"/>
      </rPr>
      <t>6-4</t>
    </r>
  </si>
  <si>
    <r>
      <rPr>
        <sz val="20"/>
        <color theme="1"/>
        <rFont val="標楷體"/>
        <family val="4"/>
        <charset val="136"/>
      </rPr>
      <t>崩</t>
    </r>
    <r>
      <rPr>
        <sz val="20"/>
        <color theme="1"/>
        <rFont val="Times New Roman"/>
        <family val="1"/>
      </rPr>
      <t>6-5</t>
    </r>
  </si>
  <si>
    <r>
      <rPr>
        <sz val="20"/>
        <color theme="1"/>
        <rFont val="標楷體"/>
        <family val="4"/>
        <charset val="136"/>
      </rPr>
      <t>崩</t>
    </r>
    <r>
      <rPr>
        <sz val="20"/>
        <color theme="1"/>
        <rFont val="Times New Roman"/>
        <family val="1"/>
      </rPr>
      <t>6-6</t>
    </r>
  </si>
  <si>
    <r>
      <rPr>
        <sz val="20"/>
        <color theme="1"/>
        <rFont val="標楷體"/>
        <family val="4"/>
        <charset val="136"/>
      </rPr>
      <t>觀音坑溪</t>
    </r>
  </si>
  <si>
    <r>
      <rPr>
        <sz val="20"/>
        <color theme="1"/>
        <rFont val="標楷體"/>
        <family val="4"/>
        <charset val="136"/>
      </rPr>
      <t>觀</t>
    </r>
    <r>
      <rPr>
        <sz val="20"/>
        <color theme="1"/>
        <rFont val="Times New Roman"/>
        <family val="1"/>
      </rPr>
      <t>1-1</t>
    </r>
  </si>
  <si>
    <r>
      <rPr>
        <sz val="20"/>
        <color theme="1"/>
        <rFont val="標楷體"/>
        <family val="4"/>
        <charset val="136"/>
      </rPr>
      <t>觀</t>
    </r>
    <r>
      <rPr>
        <sz val="20"/>
        <color theme="1"/>
        <rFont val="Times New Roman"/>
        <family val="1"/>
      </rPr>
      <t>1-2</t>
    </r>
  </si>
  <si>
    <r>
      <rPr>
        <sz val="20"/>
        <color theme="1"/>
        <rFont val="標楷體"/>
        <family val="4"/>
        <charset val="136"/>
      </rPr>
      <t>觀</t>
    </r>
    <r>
      <rPr>
        <sz val="20"/>
        <color theme="1"/>
        <rFont val="Times New Roman"/>
        <family val="1"/>
      </rPr>
      <t>B1</t>
    </r>
  </si>
  <si>
    <r>
      <rPr>
        <sz val="20"/>
        <color theme="1"/>
        <rFont val="標楷體"/>
        <family val="4"/>
        <charset val="136"/>
      </rPr>
      <t>觀</t>
    </r>
    <r>
      <rPr>
        <sz val="20"/>
        <color theme="1"/>
        <rFont val="Times New Roman"/>
        <family val="1"/>
      </rPr>
      <t>W1</t>
    </r>
  </si>
  <si>
    <r>
      <rPr>
        <sz val="20"/>
        <color theme="1"/>
        <rFont val="標楷體"/>
        <family val="4"/>
        <charset val="136"/>
      </rPr>
      <t>穿孔集水管</t>
    </r>
  </si>
  <si>
    <t xml:space="preserve">  </t>
    <phoneticPr fontId="1" type="noConversion"/>
  </si>
  <si>
    <t>可優化方向</t>
    <phoneticPr fontId="1" type="noConversion"/>
  </si>
  <si>
    <t>照片</t>
    <phoneticPr fontId="1" type="noConversion"/>
  </si>
  <si>
    <t>取水設施</t>
    <phoneticPr fontId="1" type="noConversion"/>
  </si>
  <si>
    <t>分水箱</t>
    <phoneticPr fontId="1" type="noConversion"/>
  </si>
  <si>
    <t>分水鞍</t>
    <phoneticPr fontId="1" type="noConversion"/>
  </si>
  <si>
    <t>接管數</t>
    <phoneticPr fontId="1" type="noConversion"/>
  </si>
  <si>
    <t>接管戶名</t>
    <phoneticPr fontId="1" type="noConversion"/>
  </si>
  <si>
    <t>1-王大明、2-xxx</t>
    <phoneticPr fontId="1" type="noConversion"/>
  </si>
  <si>
    <t>球閥不易開啟</t>
    <phoneticPr fontId="1" type="noConversion"/>
  </si>
  <si>
    <t>解決方案</t>
    <phoneticPr fontId="1" type="noConversion"/>
  </si>
  <si>
    <t>把手延伸管</t>
    <phoneticPr fontId="1" type="noConversion"/>
  </si>
  <si>
    <t>樣態</t>
    <phoneticPr fontId="1" type="noConversion"/>
  </si>
  <si>
    <t>出水口過低，淤砂影響</t>
    <phoneticPr fontId="1" type="noConversion"/>
  </si>
  <si>
    <t>下管改接上管</t>
    <phoneticPr fontId="1" type="noConversion"/>
  </si>
  <si>
    <t>取水箱難以到達</t>
    <phoneticPr fontId="1" type="noConversion"/>
  </si>
  <si>
    <t>三角架焊接斷裂</t>
    <phoneticPr fontId="1" type="noConversion"/>
  </si>
  <si>
    <t>改直立式角鋼</t>
    <phoneticPr fontId="1" type="noConversion"/>
  </si>
  <si>
    <t>安全性-分水鞍</t>
    <phoneticPr fontId="1" type="noConversion"/>
  </si>
  <si>
    <t>安全性-排砂閥</t>
    <phoneticPr fontId="1" type="noConversion"/>
  </si>
  <si>
    <t>設置安全扶手</t>
    <phoneticPr fontId="1" type="noConversion"/>
  </si>
  <si>
    <t>設置塑膠包覆踏接或活動爬梯</t>
    <phoneticPr fontId="1" type="noConversion"/>
  </si>
  <si>
    <t>五金構件尖銳</t>
    <phoneticPr fontId="1" type="noConversion"/>
  </si>
  <si>
    <t>圓角處理或塑膠蓋</t>
    <phoneticPr fontId="1" type="noConversion"/>
  </si>
  <si>
    <t>設施無標示</t>
    <phoneticPr fontId="1" type="noConversion"/>
  </si>
  <si>
    <t>取水箱、分水箱、分水鞍設置名牌</t>
    <phoneticPr fontId="1" type="noConversion"/>
  </si>
  <si>
    <t>接管率過低</t>
    <phoneticPr fontId="1" type="noConversion"/>
  </si>
  <si>
    <t>宣導或名牌提供聯絡資訊</t>
    <phoneticPr fontId="1" type="noConversion"/>
  </si>
  <si>
    <t>荒廢設施</t>
    <phoneticPr fontId="1" type="noConversion"/>
  </si>
  <si>
    <t>評估移置他處或取消</t>
    <phoneticPr fontId="1" type="noConversion"/>
  </si>
  <si>
    <t>現場無接管戶資訊</t>
    <phoneticPr fontId="1" type="noConversion"/>
  </si>
  <si>
    <t>設置名牌</t>
    <phoneticPr fontId="1" type="noConversion"/>
  </si>
  <si>
    <t>無輪灌機制</t>
    <phoneticPr fontId="1" type="noConversion"/>
  </si>
  <si>
    <t>-</t>
    <phoneticPr fontId="1" type="noConversion"/>
  </si>
  <si>
    <t>無人清淤維護</t>
    <phoneticPr fontId="1" type="noConversion"/>
  </si>
  <si>
    <t>設置專責維護人員固定頻率清淤及查檢</t>
    <phoneticPr fontId="1" type="noConversion"/>
  </si>
  <si>
    <t>修改為活動式</t>
    <phoneticPr fontId="1" type="noConversion"/>
  </si>
  <si>
    <t>取水箱無活動式開孔</t>
    <phoneticPr fontId="1" type="noConversion"/>
  </si>
  <si>
    <t>球閥過近操作不易</t>
    <phoneticPr fontId="1" type="noConversion"/>
  </si>
  <si>
    <t>納入新建設施精進重點</t>
    <phoneticPr fontId="1" type="noConversion"/>
  </si>
  <si>
    <t>箱體洩水坡度不足</t>
    <phoneticPr fontId="1" type="noConversion"/>
  </si>
  <si>
    <t>提高坡度</t>
    <phoneticPr fontId="1" type="noConversion"/>
  </si>
  <si>
    <t>箱體導水坡面破損</t>
    <phoneticPr fontId="1" type="noConversion"/>
  </si>
  <si>
    <t>修復</t>
    <phoneticPr fontId="1" type="noConversion"/>
  </si>
  <si>
    <t>安全性-行走動線</t>
    <phoneticPr fontId="1" type="noConversion"/>
  </si>
  <si>
    <t>設置護欄</t>
    <phoneticPr fontId="1" type="noConversion"/>
  </si>
  <si>
    <t>無動力揚水進水不穩定</t>
    <phoneticPr fontId="1" type="noConversion"/>
  </si>
  <si>
    <t>無動力揚水調整至崩1-1後方，增設蓄水塔(吳明月)</t>
    <phoneticPr fontId="1" type="noConversion"/>
  </si>
  <si>
    <t>斷管</t>
    <phoneticPr fontId="1" type="noConversion"/>
  </si>
  <si>
    <t>崩1-2、</t>
    <phoneticPr fontId="1" type="noConversion"/>
  </si>
  <si>
    <t>蓄水塔下方無排砂管</t>
    <phoneticPr fontId="1" type="noConversion"/>
  </si>
  <si>
    <t>出水管末端排砂管錯接</t>
    <phoneticPr fontId="1" type="noConversion"/>
  </si>
  <si>
    <t>溢流管對衝管線易造成脫落</t>
    <phoneticPr fontId="1" type="noConversion"/>
  </si>
  <si>
    <t>裝設斜角彎管避免對衝</t>
    <phoneticPr fontId="1" type="noConversion"/>
  </si>
  <si>
    <t>現況樣態</t>
    <phoneticPr fontId="1" type="noConversion"/>
  </si>
  <si>
    <t>總管數</t>
    <phoneticPr fontId="1" type="noConversion"/>
  </si>
  <si>
    <t>cctv、電磁閥回收</t>
    <phoneticPr fontId="1" type="noConversion"/>
  </si>
  <si>
    <t>旱灌補助</t>
    <phoneticPr fontId="1" type="noConversion"/>
  </si>
  <si>
    <t>總管長</t>
    <phoneticPr fontId="1" type="noConversion"/>
  </si>
  <si>
    <t>造價</t>
    <phoneticPr fontId="1" type="noConversion"/>
  </si>
  <si>
    <t>115 5月現場無接管</t>
    <phoneticPr fontId="1" type="noConversion"/>
  </si>
  <si>
    <t>115 4月現場分水頭斷掉</t>
    <phoneticPr fontId="1" type="noConversion"/>
  </si>
  <si>
    <t>接管戶4、5錯接至4-7&amp;8上游主管</t>
    <phoneticPr fontId="1" type="noConversion"/>
  </si>
  <si>
    <t>崩W5、6更新接管現況</t>
    <phoneticPr fontId="1" type="noConversion"/>
  </si>
  <si>
    <t>集水區</t>
    <phoneticPr fontId="1" type="noConversion"/>
  </si>
  <si>
    <t>建置年分</t>
    <phoneticPr fontId="1" type="noConversion"/>
  </si>
  <si>
    <t>分水箱/管組</t>
    <phoneticPr fontId="1" type="noConversion"/>
  </si>
  <si>
    <t>高程</t>
    <phoneticPr fontId="1" type="noConversion"/>
  </si>
  <si>
    <t>接管用戶</t>
    <phoneticPr fontId="1" type="noConversion"/>
  </si>
  <si>
    <t>接管率</t>
    <phoneticPr fontId="1" type="noConversion"/>
  </si>
  <si>
    <t>中直坑溪</t>
    <phoneticPr fontId="1" type="noConversion"/>
  </si>
  <si>
    <t>中W1</t>
    <phoneticPr fontId="1" type="noConversion"/>
  </si>
  <si>
    <t>中B1</t>
    <phoneticPr fontId="1" type="noConversion"/>
  </si>
  <si>
    <t>陳文程
陳汪鏗
陳慶華
陳金樹
陳金傳</t>
    <phoneticPr fontId="1" type="noConversion"/>
  </si>
  <si>
    <t>中W2</t>
    <phoneticPr fontId="1" type="noConversion"/>
  </si>
  <si>
    <t>中B2</t>
    <phoneticPr fontId="1" type="noConversion"/>
  </si>
  <si>
    <t>陳文程</t>
    <phoneticPr fontId="1" type="noConversion"/>
  </si>
  <si>
    <t>非常流水又與常流水的中W1靠太近，所以沒人想接</t>
    <phoneticPr fontId="1" type="noConversion"/>
  </si>
  <si>
    <t>中W3</t>
  </si>
  <si>
    <t>中B3</t>
  </si>
  <si>
    <t>陳茂雄
陳衍志
林世文
陳添進</t>
    <phoneticPr fontId="1" type="noConversion"/>
  </si>
  <si>
    <t>中W4</t>
  </si>
  <si>
    <t>中B4</t>
  </si>
  <si>
    <t>林國明
陳良煙</t>
    <phoneticPr fontId="1" type="noConversion"/>
  </si>
  <si>
    <t>中W5</t>
  </si>
  <si>
    <t>中B5</t>
  </si>
  <si>
    <t>林國順</t>
    <phoneticPr fontId="1" type="noConversion"/>
  </si>
  <si>
    <t>非常流水，僅降雨當下坑溝有水</t>
    <phoneticPr fontId="1" type="noConversion"/>
  </si>
  <si>
    <t>崩山坑溪</t>
    <phoneticPr fontId="1" type="noConversion"/>
  </si>
  <si>
    <t>崩W1</t>
    <phoneticPr fontId="1" type="noConversion"/>
  </si>
  <si>
    <t>崩B1-1</t>
    <phoneticPr fontId="1" type="noConversion"/>
  </si>
  <si>
    <t>崩B1-2</t>
    <phoneticPr fontId="1" type="noConversion"/>
  </si>
  <si>
    <t>崩1-1</t>
    <phoneticPr fontId="1" type="noConversion"/>
  </si>
  <si>
    <t>吳明月</t>
    <phoneticPr fontId="1" type="noConversion"/>
  </si>
  <si>
    <t>崩1-2</t>
    <phoneticPr fontId="1" type="noConversion"/>
  </si>
  <si>
    <t>林延熙</t>
    <phoneticPr fontId="1" type="noConversion"/>
  </si>
  <si>
    <t>林延熙表示之前有跟吳明月談過，可以在崩1-1跟1-2之間放置蓄水塔，雖然那個位置會被吳明月的私有地包起來他們不好進入，但既然吳明月同意可以讓他們進出那就沒關係</t>
    <phoneticPr fontId="1" type="noConversion"/>
  </si>
  <si>
    <t>崩1-3</t>
    <phoneticPr fontId="1" type="noConversion"/>
  </si>
  <si>
    <t>伍春香
黃明德
接管戶1(未查明)</t>
    <phoneticPr fontId="1" type="noConversion"/>
  </si>
  <si>
    <t>無動力揚水</t>
    <phoneticPr fontId="1" type="noConversion"/>
  </si>
  <si>
    <t>江來有</t>
    <phoneticPr fontId="1" type="noConversion"/>
  </si>
  <si>
    <t>崩W2</t>
    <phoneticPr fontId="1" type="noConversion"/>
  </si>
  <si>
    <t>崩B2</t>
    <phoneticPr fontId="1" type="noConversion"/>
  </si>
  <si>
    <t>崩2-1</t>
    <phoneticPr fontId="1" type="noConversion"/>
  </si>
  <si>
    <t>陳錦盛
李曜文</t>
    <phoneticPr fontId="1" type="noConversion"/>
  </si>
  <si>
    <t>崩2-2</t>
    <phoneticPr fontId="1" type="noConversion"/>
  </si>
  <si>
    <t>李東來</t>
    <phoneticPr fontId="1" type="noConversion"/>
  </si>
  <si>
    <t>崩W3</t>
    <phoneticPr fontId="1" type="noConversion"/>
  </si>
  <si>
    <t>崩B3</t>
    <phoneticPr fontId="1" type="noConversion"/>
  </si>
  <si>
    <t>崩3-1</t>
    <phoneticPr fontId="1" type="noConversion"/>
  </si>
  <si>
    <t>李東來(已預約)
張海桐(已預約)</t>
    <phoneticPr fontId="1" type="noConversion"/>
  </si>
  <si>
    <t>非常流水，取水點水質沒問題，但在地農民眼光只看到非常流水+取水點下游鐵質含量高，所以不想接，要等崩W2溢流水接過來才要接管</t>
    <phoneticPr fontId="1" type="noConversion"/>
  </si>
  <si>
    <t>崩W4</t>
    <phoneticPr fontId="1" type="noConversion"/>
  </si>
  <si>
    <t>崩B4</t>
    <phoneticPr fontId="1" type="noConversion"/>
  </si>
  <si>
    <t>崩4-1</t>
    <phoneticPr fontId="1" type="noConversion"/>
  </si>
  <si>
    <t>陳信夫家旁，分水箱放在他果園旁邊，但他是更高處的菜園需要水，所以這個位置比較像事備用點位</t>
    <phoneticPr fontId="1" type="noConversion"/>
  </si>
  <si>
    <t>崩4-2</t>
  </si>
  <si>
    <t>接管戶2、3(未查明)</t>
    <phoneticPr fontId="1" type="noConversion"/>
  </si>
  <si>
    <t>崩4-3</t>
  </si>
  <si>
    <t>陳永輝</t>
  </si>
  <si>
    <t>崩4-4</t>
  </si>
  <si>
    <t>吳見置
接管戶4、5(未查明)</t>
    <phoneticPr fontId="1" type="noConversion"/>
  </si>
  <si>
    <t>崩4-5</t>
  </si>
  <si>
    <t>戴榮讓</t>
  </si>
  <si>
    <t>崩4-6</t>
  </si>
  <si>
    <t>陳錦輝</t>
    <phoneticPr fontId="1" type="noConversion"/>
  </si>
  <si>
    <t>陳錦輝是下游右岸高處農地的農民，崩4-7其中一管是要給他的，他從4-6接管會因為水頭不足送不到他的田區，他已經跟地主喬好了，下一期延伸工程可以做這邊(4-7延伸到陳錦輝農地</t>
    <phoneticPr fontId="1" type="noConversion"/>
  </si>
  <si>
    <t>崩4-7</t>
  </si>
  <si>
    <t>陳衍志</t>
    <phoneticPr fontId="1" type="noConversion"/>
  </si>
  <si>
    <t>陳衍志現在接的是本來要預留給下游左岸高處農地的陳福班長用的位置，但陳福覺得年紀大了再做沒幾年所以不想接，陳衍志正常應該要接崩4-6的位置才對</t>
    <phoneticPr fontId="1" type="noConversion"/>
  </si>
  <si>
    <t>崩W5</t>
    <phoneticPr fontId="1" type="noConversion"/>
  </si>
  <si>
    <t>崩B5</t>
    <phoneticPr fontId="1" type="noConversion"/>
  </si>
  <si>
    <t>崩5-1</t>
    <phoneticPr fontId="1" type="noConversion"/>
  </si>
  <si>
    <t>剛做好</t>
    <phoneticPr fontId="1" type="noConversion"/>
  </si>
  <si>
    <t>崩5-2</t>
  </si>
  <si>
    <t>崩5-3</t>
  </si>
  <si>
    <t>崩5-4</t>
  </si>
  <si>
    <t>崩W6</t>
    <phoneticPr fontId="1" type="noConversion"/>
  </si>
  <si>
    <t>崩B6</t>
    <phoneticPr fontId="1" type="noConversion"/>
  </si>
  <si>
    <t>崩6-1</t>
    <phoneticPr fontId="1" type="noConversion"/>
  </si>
  <si>
    <t>崩6-2</t>
  </si>
  <si>
    <t>崩6-3</t>
  </si>
  <si>
    <t>崩6-4</t>
  </si>
  <si>
    <t>崩6-5</t>
  </si>
  <si>
    <t>崩6-6</t>
  </si>
  <si>
    <t>觀音坑溪</t>
    <phoneticPr fontId="1" type="noConversion"/>
  </si>
  <si>
    <t>觀W1</t>
    <phoneticPr fontId="1" type="noConversion"/>
  </si>
  <si>
    <t>觀1-1</t>
    <phoneticPr fontId="1" type="noConversion"/>
  </si>
  <si>
    <r>
      <t>陳明華</t>
    </r>
    <r>
      <rPr>
        <sz val="12"/>
        <color rgb="FF000000"/>
        <rFont val="Times New Roman"/>
        <family val="1"/>
      </rPr>
      <t>(</t>
    </r>
    <r>
      <rPr>
        <sz val="12"/>
        <color rgb="FF000000"/>
        <rFont val="標楷體"/>
        <family val="4"/>
        <charset val="136"/>
      </rPr>
      <t>已預約</t>
    </r>
    <r>
      <rPr>
        <sz val="12"/>
        <color rgb="FF000000"/>
        <rFont val="Times New Roman"/>
        <family val="1"/>
      </rPr>
      <t>)</t>
    </r>
  </si>
  <si>
    <t>觀1-2</t>
    <phoneticPr fontId="1" type="noConversion"/>
  </si>
  <si>
    <r>
      <t>林青豊</t>
    </r>
    <r>
      <rPr>
        <sz val="12"/>
        <color rgb="FF000000"/>
        <rFont val="Times New Roman"/>
        <family val="1"/>
      </rPr>
      <t>(</t>
    </r>
    <r>
      <rPr>
        <sz val="12"/>
        <color rgb="FF000000"/>
        <rFont val="標楷體"/>
        <family val="4"/>
        <charset val="136"/>
      </rPr>
      <t>已預約</t>
    </r>
    <r>
      <rPr>
        <sz val="12"/>
        <color rgb="FF000000"/>
        <rFont val="Times New Roman"/>
        <family val="1"/>
      </rPr>
      <t>)</t>
    </r>
  </si>
  <si>
    <t>五股坑溪</t>
    <phoneticPr fontId="1" type="noConversion"/>
  </si>
  <si>
    <t>五W1</t>
    <phoneticPr fontId="1" type="noConversion"/>
  </si>
  <si>
    <t>五1-1</t>
    <phoneticPr fontId="1" type="noConversion"/>
  </si>
  <si>
    <t>陳文章</t>
  </si>
  <si>
    <t>五1-2</t>
  </si>
  <si>
    <r>
      <t>接管戶</t>
    </r>
    <r>
      <rPr>
        <sz val="12"/>
        <color rgb="FF000000"/>
        <rFont val="Times New Roman"/>
        <family val="1"/>
      </rPr>
      <t>9</t>
    </r>
  </si>
  <si>
    <t>五1-3</t>
  </si>
  <si>
    <t>中W1、中W2、中W3</t>
    <phoneticPr fontId="1" type="noConversion"/>
  </si>
  <si>
    <t>中W3、中W4</t>
    <phoneticPr fontId="1" type="noConversion"/>
  </si>
  <si>
    <t>中B4</t>
    <phoneticPr fontId="1" type="noConversion"/>
  </si>
  <si>
    <t>中B1、中B4</t>
    <phoneticPr fontId="1" type="noConversion"/>
  </si>
  <si>
    <t>崩B1</t>
    <phoneticPr fontId="1" type="noConversion"/>
  </si>
  <si>
    <t>崩4-6~崩4-8</t>
    <phoneticPr fontId="1" type="noConversion"/>
  </si>
  <si>
    <t>中B5鋼構橋</t>
    <phoneticPr fontId="1" type="noConversion"/>
  </si>
  <si>
    <t>中W3(再確認)</t>
    <phoneticPr fontId="1" type="noConversion"/>
  </si>
  <si>
    <t>崩B6(已通知改善5/9前改善完成)</t>
    <phoneticPr fontId="1" type="noConversion"/>
  </si>
  <si>
    <t>崩B5(已通知改善5/9前改善完成)</t>
    <phoneticPr fontId="1" type="noConversion"/>
  </si>
  <si>
    <t>口徑/尺寸</t>
    <phoneticPr fontId="1" type="noConversion"/>
  </si>
  <si>
    <r>
      <rPr>
        <sz val="20"/>
        <color theme="1"/>
        <rFont val="標楷體"/>
        <family val="4"/>
        <charset val="136"/>
      </rPr>
      <t>中</t>
    </r>
    <r>
      <rPr>
        <sz val="20"/>
        <color theme="1"/>
        <rFont val="Times New Roman"/>
        <family val="1"/>
      </rPr>
      <t>W1</t>
    </r>
    <phoneticPr fontId="1" type="noConversion"/>
  </si>
  <si>
    <r>
      <rPr>
        <sz val="20"/>
        <color theme="1"/>
        <rFont val="Microsoft JhengHei"/>
        <family val="1"/>
      </rPr>
      <t>上</t>
    </r>
    <r>
      <rPr>
        <sz val="20"/>
        <color theme="1"/>
        <rFont val="細明體"/>
        <family val="1"/>
        <charset val="136"/>
      </rPr>
      <t>出4</t>
    </r>
    <r>
      <rPr>
        <sz val="20"/>
        <color theme="1"/>
        <rFont val="Times New Roman"/>
        <family val="1"/>
      </rPr>
      <t>"(</t>
    </r>
    <r>
      <rPr>
        <sz val="20"/>
        <color theme="1"/>
        <rFont val="細明體"/>
        <family val="1"/>
        <charset val="136"/>
      </rPr>
      <t>盲</t>
    </r>
    <r>
      <rPr>
        <sz val="20"/>
        <color theme="1"/>
        <rFont val="Times New Roman"/>
        <family val="1"/>
      </rPr>
      <t>)+</t>
    </r>
    <r>
      <rPr>
        <sz val="20"/>
        <color theme="1"/>
        <rFont val="Microsoft JhengHei"/>
        <family val="1"/>
      </rPr>
      <t>下出</t>
    </r>
    <r>
      <rPr>
        <sz val="20"/>
        <color theme="1"/>
        <rFont val="Times New Roman"/>
        <family val="1"/>
      </rPr>
      <t>2"(</t>
    </r>
    <r>
      <rPr>
        <sz val="20"/>
        <color theme="1"/>
        <rFont val="Microsoft JhengHei"/>
        <family val="1"/>
      </rPr>
      <t>接</t>
    </r>
    <r>
      <rPr>
        <sz val="20"/>
        <color theme="1"/>
        <rFont val="Times New Roman"/>
        <family val="1"/>
      </rPr>
      <t>)</t>
    </r>
    <r>
      <rPr>
        <sz val="20"/>
        <color theme="1"/>
        <rFont val="細明體"/>
        <family val="1"/>
        <charset val="136"/>
      </rPr>
      <t>、</t>
    </r>
    <r>
      <rPr>
        <sz val="20"/>
        <color theme="1"/>
        <rFont val="Microsoft JhengHei"/>
        <family val="1"/>
      </rPr>
      <t>排4"</t>
    </r>
    <phoneticPr fontId="1" type="noConversion"/>
  </si>
  <si>
    <r>
      <rPr>
        <sz val="20"/>
        <color theme="1"/>
        <rFont val="標楷體"/>
        <family val="4"/>
        <charset val="136"/>
      </rPr>
      <t>中</t>
    </r>
    <r>
      <rPr>
        <sz val="20"/>
        <color theme="1"/>
        <rFont val="Times New Roman"/>
        <family val="1"/>
      </rPr>
      <t>B1</t>
    </r>
  </si>
  <si>
    <r>
      <rPr>
        <sz val="20"/>
        <color theme="1"/>
        <rFont val="標楷體"/>
        <family val="4"/>
        <charset val="136"/>
      </rPr>
      <t>中</t>
    </r>
    <r>
      <rPr>
        <sz val="20"/>
        <color theme="1"/>
        <rFont val="Times New Roman"/>
        <family val="1"/>
      </rPr>
      <t>1-1</t>
    </r>
    <phoneticPr fontId="1" type="noConversion"/>
  </si>
  <si>
    <r>
      <t>2"-6</t>
    </r>
    <r>
      <rPr>
        <sz val="20"/>
        <color theme="1"/>
        <rFont val="Microsoft JhengHei"/>
        <family val="4"/>
      </rPr>
      <t>分</t>
    </r>
    <r>
      <rPr>
        <sz val="20"/>
        <color theme="1"/>
        <rFont val="Times New Roman"/>
        <family val="4"/>
      </rPr>
      <t>*4</t>
    </r>
    <phoneticPr fontId="1" type="noConversion"/>
  </si>
  <si>
    <t>備註</t>
  </si>
  <si>
    <t>97_x</t>
    <phoneticPr fontId="1" type="noConversion"/>
  </si>
  <si>
    <t>97_y</t>
    <phoneticPr fontId="1" type="noConversion"/>
  </si>
  <si>
    <t> 292098</t>
    <phoneticPr fontId="1" type="noConversion"/>
  </si>
  <si>
    <t> 2779251</t>
    <phoneticPr fontId="1" type="noConversion"/>
  </si>
  <si>
    <t> 292180</t>
    <phoneticPr fontId="1" type="noConversion"/>
  </si>
  <si>
    <t> 292517</t>
    <phoneticPr fontId="1" type="noConversion"/>
  </si>
  <si>
    <t> 292527</t>
    <phoneticPr fontId="1" type="noConversion"/>
  </si>
  <si>
    <t> 292670</t>
    <phoneticPr fontId="1" type="noConversion"/>
  </si>
  <si>
    <t> 292620</t>
    <phoneticPr fontId="1" type="noConversion"/>
  </si>
  <si>
    <t> 2778789</t>
    <phoneticPr fontId="1" type="noConversion"/>
  </si>
  <si>
    <t> 292733</t>
    <phoneticPr fontId="1" type="noConversion"/>
  </si>
  <si>
    <t> 2778613</t>
    <phoneticPr fontId="1" type="noConversion"/>
  </si>
  <si>
    <t>分接管(內部統計)</t>
    <phoneticPr fontId="1" type="noConversion"/>
  </si>
  <si>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r>
      <rPr>
        <sz val="20"/>
        <color theme="1"/>
        <rFont val="新細明體"/>
        <family val="1"/>
        <charset val="136"/>
      </rPr>
      <t>、</t>
    </r>
    <r>
      <rPr>
        <sz val="20"/>
        <color theme="1"/>
        <rFont val="Microsoft JhengHei"/>
        <family val="1"/>
      </rPr>
      <t>詢問</t>
    </r>
    <r>
      <rPr>
        <sz val="20"/>
        <color theme="1"/>
        <rFont val="新細明體"/>
        <family val="1"/>
        <charset val="136"/>
      </rPr>
      <t>陳茂雄</t>
    </r>
    <r>
      <rPr>
        <sz val="20"/>
        <color theme="1"/>
        <rFont val="Microsoft JhengHei"/>
        <family val="1"/>
      </rPr>
      <t>為何不接</t>
    </r>
    <phoneticPr fontId="1" type="noConversion"/>
  </si>
  <si>
    <r>
      <t>4(</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phoneticPr fontId="1" type="noConversion"/>
  </si>
  <si>
    <t>6+4</t>
    <phoneticPr fontId="1" type="noConversion"/>
  </si>
  <si>
    <r>
      <t>6(</t>
    </r>
    <r>
      <rPr>
        <sz val="20"/>
        <color theme="1"/>
        <rFont val="標楷體"/>
        <family val="4"/>
        <charset val="136"/>
      </rPr>
      <t>可接管</t>
    </r>
    <r>
      <rPr>
        <sz val="20"/>
        <color theme="1"/>
        <rFont val="Times New Roman"/>
        <family val="1"/>
      </rPr>
      <t>)+4(</t>
    </r>
    <r>
      <rPr>
        <sz val="20"/>
        <color theme="1"/>
        <rFont val="標楷體"/>
        <family val="4"/>
        <charset val="136"/>
      </rPr>
      <t>預留</t>
    </r>
    <r>
      <rPr>
        <sz val="20"/>
        <color theme="1"/>
        <rFont val="Times New Roman"/>
        <family val="1"/>
      </rPr>
      <t>)</t>
    </r>
    <phoneticPr fontId="1" type="noConversion"/>
  </si>
  <si>
    <t>出水口過低，淤砂影響</t>
  </si>
  <si>
    <t>下管改接上管</t>
  </si>
  <si>
    <t>1.出水口過低，淤砂影響
2.現場無接管戶資訊</t>
    <phoneticPr fontId="1" type="noConversion"/>
  </si>
  <si>
    <t>1.下管改接上管
2.箱體編號(貼在明顯處，不一定在箱體)</t>
    <phoneticPr fontId="1" type="noConversion"/>
  </si>
  <si>
    <t>3+1</t>
    <phoneticPr fontId="1" type="noConversion"/>
  </si>
  <si>
    <r>
      <t>3(</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phoneticPr fontId="1" type="noConversion"/>
  </si>
  <si>
    <t>現行狀況</t>
    <phoneticPr fontId="1" type="noConversion"/>
  </si>
  <si>
    <t>位置(中直坑)</t>
    <phoneticPr fontId="1" type="noConversion"/>
  </si>
  <si>
    <t>位置(崩山坑)</t>
    <phoneticPr fontId="1" type="noConversion"/>
  </si>
  <si>
    <t>操作便利</t>
    <phoneticPr fontId="1" type="noConversion"/>
  </si>
  <si>
    <t>損壞修復</t>
    <phoneticPr fontId="1" type="noConversion"/>
  </si>
  <si>
    <t>安全防護</t>
    <phoneticPr fontId="1" type="noConversion"/>
  </si>
  <si>
    <t>維護管理</t>
    <phoneticPr fontId="1" type="noConversion"/>
  </si>
  <si>
    <t>結構改善</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</si>
</sst>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2"/>
      <color theme="1"/>
      <name val="新細明體"/>
      <family val="2"/>
      <charset val="136"/>
      <scheme val="minor"/>
    </font>
    <font>
      <sz val="9"/>
      <name val="新細明體"/>
      <family val="2"/>
      <charset val="136"/>
      <scheme val="minor"/>
    </font>
    <font>
      <sz val="20"/>
      <color theme="1"/>
      <name val="Times New Roman"/>
      <family val="1"/>
    </font>
    <font>
      <sz val="20"/>
      <color theme="1"/>
      <name val="標楷體"/>
      <family val="4"/>
      <charset val="136"/>
    </font>
    <font>
      <sz val="20"/>
      <color theme="1"/>
      <name val="Microsoft JhengHei"/>
      <family val="1"/>
    </font>
    <font>
      <sz val="20"/>
      <color theme="1"/>
      <name val="Times New Roman"/>
      <family val="4"/>
      <charset val="136"/>
    </font>
    <font>
      <sz val="20"/>
      <color theme="1"/>
      <name val="Times New Roman"/>
      <family val="4"/>
    </font>
    <font>
      <sz val="20"/>
      <color theme="1"/>
      <name val="Microsoft JhengHei"/>
      <family val="4"/>
    </font>
    <font>
      <sz val="12"/>
      <color theme="1"/>
      <name val="標楷體"/>
      <family val="4"/>
      <charset val="136"/>
    </font>
    <font>
      <b/>
      <sz val="12"/>
      <color theme="1"/>
      <name val="標楷體"/>
      <family val="4"/>
      <charset val="136"/>
    </font>
    <font>
      <sz val="12"/>
      <color rgb="FF000000"/>
      <name val="標楷體"/>
      <family val="4"/>
      <charset val="136"/>
    </font>
    <font>
      <sz val="12"/>
      <color rgb="FF000000"/>
      <name val="Times New Roman"/>
      <family val="1"/>
    </font>
    <font>
      <sz val="20"/>
      <color theme="1"/>
      <name val="細明體"/>
      <family val="1"/>
      <charset val="136"/>
    </font>
    <font>
      <sz val="12"/>
      <color theme="1"/>
      <name val="新細明體"/>
      <family val="2"/>
      <charset val="136"/>
      <scheme val="minor"/>
    </font>
    <font>
      <sz val="20"/>
      <color theme="1"/>
      <name val="新細明體"/>
      <family val="1"/>
      <charset val="136"/>
    </font>
  </fonts>
  <fills count="12">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9" fontId="13" fillId="0" borderId="0" applyFont="0" applyFill="0" applyBorder="0" applyAlignment="0" applyProtection="0">
      <alignment vertical="center"/>
    </xf>
  </cellStyleXfs>
  <cellXfs count="79">
    <xf numFmtId="0" fontId="0" fillId="0" borderId="0" xfId="0">
      <alignment vertical="center"/>
    </xf>
    <xf numFmtId="0" fontId="2" fillId="0" borderId="0" xfId="0" applyFont="1">
      <alignment vertical="center"/>
    </xf>
    <xf numFmtId="0" fontId="3" fillId="0" borderId="1" xfId="0" applyFont="1" applyBorder="1" applyAlignment="1">
      <alignment horizontal="center" vertical="center"/>
    </xf>
    <xf numFmtId="0" fontId="0" fillId="0" borderId="0" xfId="0" applyAlignment="1">
      <alignment horizontal="center" vertical="center"/>
    </xf>
    <xf numFmtId="0" fontId="2" fillId="2" borderId="0" xfId="0" applyFont="1" applyFill="1">
      <alignment vertical="center"/>
    </xf>
    <xf numFmtId="0" fontId="8" fillId="0" borderId="0" xfId="0" applyFont="1" applyAlignment="1">
      <alignment horizontal="center" vertical="center"/>
    </xf>
    <xf numFmtId="0" fontId="8" fillId="0" borderId="0" xfId="0" applyFont="1">
      <alignment vertical="center"/>
    </xf>
    <xf numFmtId="0" fontId="9" fillId="0" borderId="1" xfId="0" applyFont="1" applyBorder="1" applyAlignment="1">
      <alignment horizontal="center" vertical="center"/>
    </xf>
    <xf numFmtId="0" fontId="9" fillId="0" borderId="0" xfId="0" applyFont="1" applyAlignment="1">
      <alignment horizontal="center" vertical="center"/>
    </xf>
    <xf numFmtId="0" fontId="10" fillId="0" borderId="1" xfId="0" applyFont="1" applyBorder="1" applyAlignment="1">
      <alignment horizontal="center" vertical="center"/>
    </xf>
    <xf numFmtId="0" fontId="8" fillId="0" borderId="1" xfId="0" applyFont="1" applyBorder="1" applyAlignment="1">
      <alignment horizontal="center" vertical="center"/>
    </xf>
    <xf numFmtId="0" fontId="10" fillId="3" borderId="1" xfId="0" applyFont="1" applyFill="1" applyBorder="1" applyAlignment="1">
      <alignment horizontal="center" vertical="center"/>
    </xf>
    <xf numFmtId="0" fontId="8" fillId="0" borderId="1" xfId="0" applyFont="1" applyBorder="1" applyAlignment="1">
      <alignment horizontal="center" vertical="center" wrapText="1"/>
    </xf>
    <xf numFmtId="0" fontId="10" fillId="4" borderId="1" xfId="0" applyFont="1" applyFill="1" applyBorder="1" applyAlignment="1">
      <alignment horizontal="center" vertical="center"/>
    </xf>
    <xf numFmtId="0" fontId="10" fillId="0" borderId="0" xfId="0" applyFont="1" applyAlignment="1">
      <alignment horizontal="center" vertical="center" wrapText="1"/>
    </xf>
    <xf numFmtId="0" fontId="8" fillId="0" borderId="0" xfId="0" applyFont="1" applyAlignment="1">
      <alignment horizontal="left" vertical="center"/>
    </xf>
    <xf numFmtId="0" fontId="10" fillId="0" borderId="1" xfId="0" applyFont="1" applyBorder="1" applyAlignment="1">
      <alignment horizontal="center" vertical="center" wrapText="1"/>
    </xf>
    <xf numFmtId="0" fontId="10" fillId="0" borderId="0" xfId="0" applyFont="1" applyAlignment="1">
      <alignment horizontal="center" vertical="center"/>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2" fillId="5" borderId="1" xfId="0" applyFont="1" applyFill="1" applyBorder="1" applyAlignment="1">
      <alignment horizontal="center" vertical="center"/>
    </xf>
    <xf numFmtId="0" fontId="2" fillId="5" borderId="0" xfId="0" applyFont="1" applyFill="1" applyAlignment="1">
      <alignment horizontal="center" vertical="center"/>
    </xf>
    <xf numFmtId="0" fontId="2" fillId="6" borderId="1" xfId="0" applyFont="1" applyFill="1" applyBorder="1" applyAlignment="1">
      <alignment horizontal="center" vertical="center"/>
    </xf>
    <xf numFmtId="0" fontId="3" fillId="6" borderId="1" xfId="0" applyFont="1" applyFill="1" applyBorder="1" applyAlignment="1">
      <alignment horizontal="center" vertical="center"/>
    </xf>
    <xf numFmtId="0" fontId="5" fillId="6" borderId="1" xfId="0" applyFont="1" applyFill="1" applyBorder="1" applyAlignment="1">
      <alignment horizontal="center" vertical="center"/>
    </xf>
    <xf numFmtId="0" fontId="2" fillId="6" borderId="0" xfId="0" applyFont="1" applyFill="1" applyAlignment="1">
      <alignment horizontal="center" vertical="center"/>
    </xf>
    <xf numFmtId="0" fontId="3" fillId="7" borderId="1" xfId="0" applyFont="1" applyFill="1" applyBorder="1" applyAlignment="1">
      <alignment horizontal="center" vertical="center"/>
    </xf>
    <xf numFmtId="0" fontId="2" fillId="7" borderId="1" xfId="0" applyFont="1" applyFill="1" applyBorder="1">
      <alignment vertical="center"/>
    </xf>
    <xf numFmtId="0" fontId="2" fillId="7" borderId="1" xfId="0" applyFont="1" applyFill="1" applyBorder="1" applyAlignment="1">
      <alignment horizontal="center" vertical="center"/>
    </xf>
    <xf numFmtId="0" fontId="2" fillId="7" borderId="0" xfId="0" applyFont="1" applyFill="1">
      <alignment vertical="center"/>
    </xf>
    <xf numFmtId="9" fontId="3" fillId="5" borderId="1" xfId="1" applyFont="1" applyFill="1" applyBorder="1" applyAlignment="1">
      <alignment horizontal="center" vertical="center"/>
    </xf>
    <xf numFmtId="9" fontId="2" fillId="5" borderId="1" xfId="1" applyFont="1" applyFill="1" applyBorder="1" applyAlignment="1">
      <alignment horizontal="center" vertical="center"/>
    </xf>
    <xf numFmtId="9" fontId="2" fillId="5" borderId="0" xfId="1" applyFont="1" applyFill="1" applyAlignment="1">
      <alignment horizontal="center" vertical="center"/>
    </xf>
    <xf numFmtId="0" fontId="2" fillId="3" borderId="0" xfId="0" applyFont="1" applyFill="1">
      <alignment vertical="center"/>
    </xf>
    <xf numFmtId="0" fontId="2" fillId="5" borderId="0" xfId="0" applyFont="1" applyFill="1">
      <alignment vertical="center"/>
    </xf>
    <xf numFmtId="0" fontId="3" fillId="8" borderId="1" xfId="0" applyFont="1" applyFill="1" applyBorder="1" applyAlignment="1">
      <alignment horizontal="center" vertical="center"/>
    </xf>
    <xf numFmtId="0" fontId="2" fillId="8" borderId="0" xfId="0" applyFont="1" applyFill="1">
      <alignment vertical="center"/>
    </xf>
    <xf numFmtId="0" fontId="2" fillId="7" borderId="0" xfId="0" applyFont="1" applyFill="1" applyAlignment="1">
      <alignment horizontal="center" vertical="center"/>
    </xf>
    <xf numFmtId="0" fontId="2" fillId="7" borderId="1" xfId="0" applyFont="1" applyFill="1" applyBorder="1" applyAlignment="1">
      <alignment horizontal="left" vertical="center"/>
    </xf>
    <xf numFmtId="0" fontId="3" fillId="8" borderId="1" xfId="0" applyFont="1" applyFill="1" applyBorder="1" applyAlignment="1">
      <alignment horizontal="center" vertical="center" wrapText="1"/>
    </xf>
    <xf numFmtId="0" fontId="2" fillId="6" borderId="3" xfId="0" applyFont="1" applyFill="1" applyBorder="1" applyAlignment="1">
      <alignment horizontal="center" vertical="center"/>
    </xf>
    <xf numFmtId="0" fontId="2" fillId="6" borderId="4" xfId="0" applyFont="1" applyFill="1" applyBorder="1" applyAlignment="1">
      <alignment horizontal="center" vertical="center"/>
    </xf>
    <xf numFmtId="0" fontId="2" fillId="6" borderId="1" xfId="0" applyFont="1" applyFill="1" applyBorder="1" applyAlignment="1">
      <alignment horizontal="center" vertical="center"/>
    </xf>
    <xf numFmtId="0" fontId="2" fillId="6" borderId="2" xfId="0" applyFont="1" applyFill="1" applyBorder="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10" fillId="3" borderId="2"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10" fillId="4" borderId="2" xfId="0" applyFont="1" applyFill="1" applyBorder="1" applyAlignment="1">
      <alignment horizontal="center" vertical="center"/>
    </xf>
    <xf numFmtId="0" fontId="10" fillId="4" borderId="4" xfId="0" applyFont="1" applyFill="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3" borderId="2" xfId="0" applyFont="1" applyFill="1" applyBorder="1" applyAlignment="1">
      <alignment horizontal="center" vertical="center"/>
    </xf>
    <xf numFmtId="0" fontId="8" fillId="3" borderId="4" xfId="0" applyFont="1" applyFill="1" applyBorder="1" applyAlignment="1">
      <alignment horizontal="center" vertical="center"/>
    </xf>
    <xf numFmtId="0" fontId="8" fillId="3" borderId="3" xfId="0" applyFont="1" applyFill="1" applyBorder="1" applyAlignment="1">
      <alignment horizontal="center" vertical="center"/>
    </xf>
    <xf numFmtId="0" fontId="0" fillId="7" borderId="0" xfId="0" applyFill="1" applyAlignment="1">
      <alignment horizontal="center" vertical="center"/>
    </xf>
    <xf numFmtId="0" fontId="0" fillId="9" borderId="0" xfId="0" applyFill="1" applyAlignment="1">
      <alignment horizontal="center" vertical="center"/>
    </xf>
    <xf numFmtId="0" fontId="0" fillId="8" borderId="0" xfId="0" applyFill="1" applyAlignment="1">
      <alignment horizontal="center" vertical="center"/>
    </xf>
    <xf numFmtId="0" fontId="0" fillId="10" borderId="0" xfId="0" applyFill="1" applyAlignment="1">
      <alignment horizontal="center" vertical="center"/>
    </xf>
    <xf numFmtId="0" fontId="0" fillId="7" borderId="0" xfId="0" applyFill="1" applyAlignment="1">
      <alignment horizontal="center" vertical="center"/>
    </xf>
    <xf numFmtId="0" fontId="0" fillId="9" borderId="0" xfId="0" applyFill="1" applyAlignment="1">
      <alignment horizontal="center" vertical="center"/>
    </xf>
    <xf numFmtId="0" fontId="0" fillId="8" borderId="0" xfId="0" applyFill="1" applyAlignment="1">
      <alignment horizontal="center" vertical="center"/>
    </xf>
    <xf numFmtId="0" fontId="0" fillId="11" borderId="0" xfId="0" applyFill="1" applyAlignment="1">
      <alignment horizontal="center" vertical="center"/>
    </xf>
    <xf numFmtId="0" fontId="0" fillId="11" borderId="0" xfId="0" applyFill="1" applyAlignment="1">
      <alignment horizontal="center" vertical="center"/>
    </xf>
    <xf numFmtId="0" fontId="0" fillId="10" borderId="0" xfId="0" applyFill="1" applyAlignment="1">
      <alignment horizontal="center" vertical="center"/>
    </xf>
  </cellXfs>
  <cellStyles count="2">
    <cellStyle name="一般" xfId="0" builtinId="0"/>
    <cellStyle name="百分比"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21723-4B34-4B9B-A5B8-9233C53AAD29}">
  <dimension ref="A1:AL56"/>
  <sheetViews>
    <sheetView view="pageBreakPreview" zoomScale="70" zoomScaleNormal="100" zoomScaleSheetLayoutView="70" workbookViewId="0">
      <selection activeCell="K40" sqref="K40"/>
    </sheetView>
  </sheetViews>
  <sheetFormatPr defaultRowHeight="26.25"/>
  <cols>
    <col min="1" max="4" width="16.625" style="27" customWidth="1"/>
    <col min="5" max="5" width="16.125" style="19" customWidth="1"/>
    <col min="6" max="6" width="16.625" style="19" customWidth="1"/>
    <col min="7" max="7" width="16.625" style="27" customWidth="1"/>
    <col min="8" max="8" width="72.75" style="19" customWidth="1"/>
    <col min="9" max="9" width="14.5" style="36" bestFit="1" customWidth="1"/>
    <col min="10" max="11" width="16.625" style="23" customWidth="1"/>
    <col min="12" max="12" width="16.625" style="34" customWidth="1"/>
    <col min="13" max="13" width="48.125" style="39" customWidth="1"/>
    <col min="14" max="14" width="113.875" style="31" customWidth="1"/>
    <col min="15" max="15" width="18.875" style="35" bestFit="1" customWidth="1"/>
    <col min="16" max="16" width="10.5" style="35" bestFit="1" customWidth="1"/>
    <col min="17" max="17" width="16.625" style="19" customWidth="1"/>
    <col min="18" max="18" width="54.5" style="38" customWidth="1"/>
    <col min="19" max="19" width="69.125" style="38" customWidth="1"/>
    <col min="20" max="20" width="10.125" style="1" customWidth="1"/>
    <col min="21" max="21" width="108.25" style="1" customWidth="1"/>
    <col min="22" max="16384" width="9" style="1"/>
  </cols>
  <sheetData>
    <row r="1" spans="1:38" ht="32.1" customHeight="1">
      <c r="A1" s="24" t="s">
        <v>8</v>
      </c>
      <c r="B1" s="25" t="s">
        <v>103</v>
      </c>
      <c r="C1" s="25" t="s">
        <v>104</v>
      </c>
      <c r="D1" s="25" t="s">
        <v>105</v>
      </c>
      <c r="E1" s="24" t="s">
        <v>275</v>
      </c>
      <c r="F1" s="24" t="s">
        <v>276</v>
      </c>
      <c r="G1" s="25" t="s">
        <v>9</v>
      </c>
      <c r="H1" s="21" t="s">
        <v>268</v>
      </c>
      <c r="I1" s="21" t="s">
        <v>158</v>
      </c>
      <c r="J1" s="21" t="s">
        <v>155</v>
      </c>
      <c r="K1" s="21" t="s">
        <v>106</v>
      </c>
      <c r="L1" s="32" t="s">
        <v>169</v>
      </c>
      <c r="M1" s="28" t="s">
        <v>287</v>
      </c>
      <c r="N1" s="28" t="s">
        <v>274</v>
      </c>
      <c r="O1" s="20" t="s">
        <v>157</v>
      </c>
      <c r="P1" s="20" t="s">
        <v>159</v>
      </c>
      <c r="Q1" s="18" t="s">
        <v>10</v>
      </c>
      <c r="R1" s="37" t="s">
        <v>154</v>
      </c>
      <c r="S1" s="37" t="s">
        <v>101</v>
      </c>
      <c r="T1" s="2" t="s">
        <v>102</v>
      </c>
      <c r="U1" s="2" t="s">
        <v>107</v>
      </c>
    </row>
    <row r="2" spans="1:38" ht="55.5">
      <c r="A2" s="45" t="s">
        <v>11</v>
      </c>
      <c r="B2" s="26" t="s">
        <v>269</v>
      </c>
      <c r="C2" s="24"/>
      <c r="D2" s="24"/>
      <c r="E2" s="24">
        <v>292092</v>
      </c>
      <c r="F2" s="24">
        <v>2779339</v>
      </c>
      <c r="G2" s="24">
        <v>183.78</v>
      </c>
      <c r="H2" s="21" t="s">
        <v>270</v>
      </c>
      <c r="I2" s="21"/>
      <c r="J2" s="22"/>
      <c r="K2" s="22" t="s">
        <v>0</v>
      </c>
      <c r="L2" s="33"/>
      <c r="M2" s="30" t="s">
        <v>0</v>
      </c>
      <c r="N2" s="29" t="s">
        <v>13</v>
      </c>
      <c r="O2" s="20"/>
      <c r="P2" s="20"/>
      <c r="Q2" s="18" t="s">
        <v>12</v>
      </c>
      <c r="R2" s="41" t="s">
        <v>294</v>
      </c>
      <c r="S2" s="41" t="s">
        <v>295</v>
      </c>
      <c r="T2" s="2"/>
      <c r="U2" s="2" t="s">
        <v>108</v>
      </c>
    </row>
    <row r="3" spans="1:38" ht="32.1" customHeight="1">
      <c r="A3" s="42"/>
      <c r="B3" s="24"/>
      <c r="C3" s="24" t="s">
        <v>271</v>
      </c>
      <c r="D3" s="24"/>
      <c r="E3" s="24">
        <v>292103</v>
      </c>
      <c r="F3" s="24">
        <v>2779324</v>
      </c>
      <c r="G3" s="24">
        <v>179.43</v>
      </c>
      <c r="H3" s="21"/>
      <c r="I3" s="21"/>
      <c r="J3" s="22"/>
      <c r="K3" s="22" t="s">
        <v>0</v>
      </c>
      <c r="L3" s="33"/>
      <c r="M3" s="30" t="s">
        <v>0</v>
      </c>
      <c r="N3" s="29" t="s">
        <v>14</v>
      </c>
      <c r="O3" s="20"/>
      <c r="P3" s="20"/>
      <c r="Q3" s="18" t="s">
        <v>12</v>
      </c>
      <c r="R3" s="37"/>
      <c r="S3" s="37"/>
      <c r="T3" s="2"/>
      <c r="U3" s="2"/>
    </row>
    <row r="4" spans="1:38" s="4" customFormat="1" ht="32.1" customHeight="1">
      <c r="A4" s="43"/>
      <c r="B4" s="24"/>
      <c r="C4" s="24"/>
      <c r="D4" s="24" t="s">
        <v>272</v>
      </c>
      <c r="E4" s="24">
        <v>292103</v>
      </c>
      <c r="F4" s="24">
        <v>2779324</v>
      </c>
      <c r="G4" s="24">
        <v>179.19</v>
      </c>
      <c r="H4" s="21" t="s">
        <v>273</v>
      </c>
      <c r="I4" s="21"/>
      <c r="J4" s="22">
        <v>10</v>
      </c>
      <c r="K4" s="22">
        <v>6</v>
      </c>
      <c r="L4" s="33">
        <f>K4/J4</f>
        <v>0.6</v>
      </c>
      <c r="M4" s="30" t="s">
        <v>7</v>
      </c>
      <c r="N4" s="40" t="s">
        <v>15</v>
      </c>
      <c r="O4" s="20"/>
      <c r="P4" s="20"/>
      <c r="Q4" s="18" t="s">
        <v>12</v>
      </c>
      <c r="R4" s="37" t="s">
        <v>160</v>
      </c>
      <c r="S4" s="37"/>
      <c r="T4" s="2"/>
      <c r="U4" s="2"/>
      <c r="V4" s="1"/>
      <c r="W4" s="1"/>
      <c r="X4" s="1"/>
      <c r="Y4" s="1"/>
      <c r="Z4" s="1"/>
      <c r="AA4" s="1"/>
      <c r="AB4" s="1"/>
      <c r="AC4" s="1"/>
      <c r="AD4" s="1"/>
      <c r="AE4" s="1"/>
      <c r="AF4" s="1"/>
      <c r="AG4" s="1"/>
      <c r="AH4" s="1"/>
      <c r="AI4" s="1"/>
      <c r="AJ4" s="1"/>
      <c r="AK4" s="1"/>
      <c r="AL4" s="1"/>
    </row>
    <row r="5" spans="1:38" ht="32.1" customHeight="1">
      <c r="A5" s="45"/>
      <c r="B5" s="24" t="s">
        <v>16</v>
      </c>
      <c r="C5" s="24"/>
      <c r="D5" s="24"/>
      <c r="E5" s="24">
        <v>292073</v>
      </c>
      <c r="F5" s="24">
        <v>2779295</v>
      </c>
      <c r="G5" s="24">
        <v>174.95</v>
      </c>
      <c r="H5" s="21"/>
      <c r="I5" s="21"/>
      <c r="J5" s="22"/>
      <c r="K5" s="22" t="s">
        <v>0</v>
      </c>
      <c r="L5" s="33"/>
      <c r="M5" s="30" t="s">
        <v>0</v>
      </c>
      <c r="N5" s="29" t="s">
        <v>13</v>
      </c>
      <c r="O5" s="20"/>
      <c r="P5" s="20"/>
      <c r="Q5" s="18" t="s">
        <v>17</v>
      </c>
      <c r="R5" s="37" t="s">
        <v>292</v>
      </c>
      <c r="S5" s="37" t="s">
        <v>293</v>
      </c>
      <c r="T5" s="2"/>
      <c r="U5" s="2"/>
    </row>
    <row r="6" spans="1:38" ht="32.1" customHeight="1">
      <c r="A6" s="42"/>
      <c r="B6" s="24"/>
      <c r="C6" s="24" t="s">
        <v>18</v>
      </c>
      <c r="D6" s="24"/>
      <c r="E6" s="24">
        <v>292098</v>
      </c>
      <c r="F6" s="24">
        <v>2779252</v>
      </c>
      <c r="G6" s="24">
        <v>166.25</v>
      </c>
      <c r="H6" s="21"/>
      <c r="I6" s="21"/>
      <c r="J6" s="22"/>
      <c r="K6" s="22" t="s">
        <v>0</v>
      </c>
      <c r="L6" s="33"/>
      <c r="M6" s="30" t="s">
        <v>0</v>
      </c>
      <c r="N6" s="29" t="s">
        <v>19</v>
      </c>
      <c r="O6" s="20"/>
      <c r="P6" s="20"/>
      <c r="Q6" s="18" t="s">
        <v>17</v>
      </c>
      <c r="R6" s="37"/>
      <c r="S6" s="37"/>
      <c r="T6" s="2"/>
      <c r="U6" s="2"/>
    </row>
    <row r="7" spans="1:38" ht="32.1" customHeight="1">
      <c r="A7" s="43"/>
      <c r="B7" s="24"/>
      <c r="C7" s="24"/>
      <c r="D7" s="24" t="s">
        <v>20</v>
      </c>
      <c r="E7" s="24" t="s">
        <v>277</v>
      </c>
      <c r="F7" s="24" t="s">
        <v>278</v>
      </c>
      <c r="G7" s="24">
        <v>166.15</v>
      </c>
      <c r="H7" s="21"/>
      <c r="I7" s="21"/>
      <c r="J7" s="22">
        <v>8</v>
      </c>
      <c r="K7" s="22">
        <v>0</v>
      </c>
      <c r="L7" s="33">
        <f t="shared" ref="L7:L52" si="0">K7/J7</f>
        <v>0</v>
      </c>
      <c r="M7" s="30" t="s">
        <v>6</v>
      </c>
      <c r="N7" s="29" t="s">
        <v>21</v>
      </c>
      <c r="O7" s="20"/>
      <c r="P7" s="20"/>
      <c r="Q7" s="18" t="s">
        <v>17</v>
      </c>
      <c r="R7" s="37"/>
      <c r="S7" s="37"/>
      <c r="T7" s="2"/>
      <c r="U7" s="2"/>
    </row>
    <row r="8" spans="1:38" ht="32.1" customHeight="1">
      <c r="A8" s="45"/>
      <c r="B8" s="24" t="s">
        <v>22</v>
      </c>
      <c r="C8" s="24"/>
      <c r="D8" s="24"/>
      <c r="E8" s="24">
        <v>292196</v>
      </c>
      <c r="F8" s="24">
        <v>2779274</v>
      </c>
      <c r="G8" s="24">
        <v>157.75</v>
      </c>
      <c r="H8" s="21"/>
      <c r="I8" s="21"/>
      <c r="J8" s="22"/>
      <c r="K8" s="22" t="s">
        <v>0</v>
      </c>
      <c r="L8" s="33"/>
      <c r="M8" s="30" t="s">
        <v>0</v>
      </c>
      <c r="N8" s="29" t="s">
        <v>23</v>
      </c>
      <c r="O8" s="20"/>
      <c r="P8" s="20"/>
      <c r="Q8" s="18" t="s">
        <v>17</v>
      </c>
      <c r="R8" s="37" t="s">
        <v>292</v>
      </c>
      <c r="S8" s="37" t="s">
        <v>293</v>
      </c>
      <c r="T8" s="2"/>
      <c r="U8" s="2"/>
    </row>
    <row r="9" spans="1:38" ht="32.1" customHeight="1">
      <c r="A9" s="42"/>
      <c r="B9" s="24"/>
      <c r="C9" s="24" t="s">
        <v>24</v>
      </c>
      <c r="D9" s="24"/>
      <c r="E9" s="24">
        <v>292181</v>
      </c>
      <c r="F9" s="24">
        <v>2779210</v>
      </c>
      <c r="G9" s="24">
        <v>152.08000000000001</v>
      </c>
      <c r="H9" s="21"/>
      <c r="I9" s="21"/>
      <c r="J9" s="22"/>
      <c r="K9" s="22" t="s">
        <v>0</v>
      </c>
      <c r="L9" s="33"/>
      <c r="M9" s="30" t="s">
        <v>0</v>
      </c>
      <c r="N9" s="29" t="s">
        <v>19</v>
      </c>
      <c r="O9" s="20"/>
      <c r="P9" s="20"/>
      <c r="Q9" s="18" t="s">
        <v>17</v>
      </c>
      <c r="R9" s="37"/>
      <c r="S9" s="37"/>
      <c r="T9" s="2"/>
      <c r="U9" s="2"/>
    </row>
    <row r="10" spans="1:38" ht="32.1" customHeight="1">
      <c r="A10" s="43"/>
      <c r="B10" s="24"/>
      <c r="C10" s="24"/>
      <c r="D10" s="24" t="s">
        <v>25</v>
      </c>
      <c r="E10" s="24">
        <v>292181</v>
      </c>
      <c r="F10" s="24">
        <v>2779210</v>
      </c>
      <c r="G10" s="24">
        <v>151.88999999999999</v>
      </c>
      <c r="H10" s="21"/>
      <c r="I10" s="21"/>
      <c r="J10" s="22">
        <v>8</v>
      </c>
      <c r="K10" s="22">
        <v>3</v>
      </c>
      <c r="L10" s="33">
        <f t="shared" si="0"/>
        <v>0.375</v>
      </c>
      <c r="M10" s="30" t="s">
        <v>6</v>
      </c>
      <c r="N10" s="29" t="s">
        <v>288</v>
      </c>
      <c r="O10" s="20"/>
      <c r="P10" s="20"/>
      <c r="Q10" s="18" t="s">
        <v>17</v>
      </c>
      <c r="R10" s="37"/>
      <c r="S10" s="37"/>
      <c r="T10" s="2"/>
      <c r="U10" s="2"/>
    </row>
    <row r="11" spans="1:38" ht="32.1" customHeight="1">
      <c r="A11" s="45"/>
      <c r="B11" s="24" t="s">
        <v>26</v>
      </c>
      <c r="C11" s="24"/>
      <c r="D11" s="24"/>
      <c r="E11" s="24">
        <v>292180</v>
      </c>
      <c r="F11" s="24">
        <v>2779225</v>
      </c>
      <c r="G11" s="24">
        <v>153.12</v>
      </c>
      <c r="H11" s="21"/>
      <c r="I11" s="21"/>
      <c r="J11" s="22"/>
      <c r="K11" s="22" t="s">
        <v>0</v>
      </c>
      <c r="L11" s="33"/>
      <c r="M11" s="30" t="s">
        <v>0</v>
      </c>
      <c r="N11" s="29" t="s">
        <v>28</v>
      </c>
      <c r="O11" s="20"/>
      <c r="P11" s="20"/>
      <c r="Q11" s="18" t="s">
        <v>27</v>
      </c>
      <c r="R11" s="37"/>
      <c r="S11" s="37"/>
      <c r="T11" s="2"/>
      <c r="U11" s="2"/>
    </row>
    <row r="12" spans="1:38" ht="32.1" customHeight="1">
      <c r="A12" s="42"/>
      <c r="B12" s="24"/>
      <c r="C12" s="24" t="s">
        <v>29</v>
      </c>
      <c r="D12" s="24"/>
      <c r="E12" s="24">
        <v>292180</v>
      </c>
      <c r="F12" s="24">
        <v>2779125</v>
      </c>
      <c r="G12" s="24">
        <v>144.12</v>
      </c>
      <c r="H12" s="21"/>
      <c r="I12" s="21"/>
      <c r="J12" s="22"/>
      <c r="K12" s="22" t="s">
        <v>0</v>
      </c>
      <c r="L12" s="33"/>
      <c r="M12" s="30" t="s">
        <v>0</v>
      </c>
      <c r="N12" s="29" t="s">
        <v>19</v>
      </c>
      <c r="O12" s="20"/>
      <c r="P12" s="20"/>
      <c r="Q12" s="18" t="s">
        <v>27</v>
      </c>
      <c r="R12" s="37"/>
      <c r="S12" s="37"/>
      <c r="T12" s="2"/>
      <c r="U12" s="2"/>
    </row>
    <row r="13" spans="1:38" ht="32.1" customHeight="1">
      <c r="A13" s="43"/>
      <c r="B13" s="24"/>
      <c r="C13" s="24"/>
      <c r="D13" s="24" t="s">
        <v>30</v>
      </c>
      <c r="E13" s="24" t="s">
        <v>279</v>
      </c>
      <c r="F13" s="24">
        <v>2779125</v>
      </c>
      <c r="G13" s="24">
        <v>144.06</v>
      </c>
      <c r="H13" s="21"/>
      <c r="I13" s="21"/>
      <c r="J13" s="22">
        <v>6</v>
      </c>
      <c r="K13" s="22">
        <v>1</v>
      </c>
      <c r="L13" s="33">
        <f t="shared" si="0"/>
        <v>0.16666666666666666</v>
      </c>
      <c r="M13" s="30" t="s">
        <v>4</v>
      </c>
      <c r="N13" s="29" t="s">
        <v>289</v>
      </c>
      <c r="O13" s="20"/>
      <c r="P13" s="20"/>
      <c r="Q13" s="18" t="s">
        <v>27</v>
      </c>
      <c r="R13" s="37"/>
      <c r="S13" s="37"/>
      <c r="T13" s="2"/>
      <c r="U13" s="2"/>
    </row>
    <row r="14" spans="1:38" ht="32.1" customHeight="1">
      <c r="A14" s="45"/>
      <c r="B14" s="24" t="s">
        <v>32</v>
      </c>
      <c r="C14" s="24"/>
      <c r="D14" s="24"/>
      <c r="E14" s="24">
        <v>292016</v>
      </c>
      <c r="F14" s="24">
        <v>2779020</v>
      </c>
      <c r="G14" s="24">
        <v>160.01</v>
      </c>
      <c r="H14" s="21"/>
      <c r="I14" s="21"/>
      <c r="J14" s="22"/>
      <c r="K14" s="22" t="s">
        <v>0</v>
      </c>
      <c r="L14" s="33"/>
      <c r="M14" s="30" t="s">
        <v>0</v>
      </c>
      <c r="N14" s="29" t="s">
        <v>28</v>
      </c>
      <c r="O14" s="20"/>
      <c r="P14" s="20"/>
      <c r="Q14" s="18" t="s">
        <v>27</v>
      </c>
      <c r="R14" s="37" t="s">
        <v>160</v>
      </c>
      <c r="S14" s="37"/>
      <c r="T14" s="2"/>
      <c r="U14" s="2"/>
    </row>
    <row r="15" spans="1:38" ht="32.1" customHeight="1">
      <c r="A15" s="42"/>
      <c r="B15" s="24"/>
      <c r="C15" s="24" t="s">
        <v>33</v>
      </c>
      <c r="D15" s="24"/>
      <c r="E15" s="24">
        <v>292036</v>
      </c>
      <c r="F15" s="24">
        <v>2779006</v>
      </c>
      <c r="G15" s="24">
        <v>153.57</v>
      </c>
      <c r="H15" s="21"/>
      <c r="I15" s="21"/>
      <c r="J15" s="22"/>
      <c r="K15" s="22" t="s">
        <v>0</v>
      </c>
      <c r="L15" s="33"/>
      <c r="M15" s="30" t="s">
        <v>0</v>
      </c>
      <c r="N15" s="29" t="s">
        <v>34</v>
      </c>
      <c r="O15" s="20"/>
      <c r="P15" s="20"/>
      <c r="Q15" s="18" t="s">
        <v>27</v>
      </c>
      <c r="R15" s="37"/>
      <c r="S15" s="37"/>
      <c r="T15" s="2"/>
      <c r="U15" s="2"/>
    </row>
    <row r="16" spans="1:38" ht="32.1" customHeight="1">
      <c r="A16" s="43"/>
      <c r="B16" s="24"/>
      <c r="C16" s="24"/>
      <c r="D16" s="24" t="s">
        <v>35</v>
      </c>
      <c r="E16" s="24">
        <v>292037</v>
      </c>
      <c r="F16" s="24">
        <v>2779006</v>
      </c>
      <c r="G16" s="24">
        <v>153.24</v>
      </c>
      <c r="H16" s="21"/>
      <c r="I16" s="21"/>
      <c r="J16" s="22">
        <v>10</v>
      </c>
      <c r="K16" s="22">
        <v>0</v>
      </c>
      <c r="L16" s="33">
        <f t="shared" si="0"/>
        <v>0</v>
      </c>
      <c r="M16" s="30" t="s">
        <v>290</v>
      </c>
      <c r="N16" s="29" t="s">
        <v>291</v>
      </c>
      <c r="O16" s="20"/>
      <c r="P16" s="20"/>
      <c r="Q16" s="18" t="s">
        <v>27</v>
      </c>
      <c r="R16" s="37"/>
      <c r="S16" s="37"/>
      <c r="T16" s="2"/>
      <c r="U16" s="2"/>
    </row>
    <row r="17" spans="1:24" ht="32.1" customHeight="1">
      <c r="A17" s="45" t="s">
        <v>36</v>
      </c>
      <c r="B17" s="24" t="s">
        <v>37</v>
      </c>
      <c r="C17" s="24"/>
      <c r="D17" s="24"/>
      <c r="E17" s="24">
        <v>292230</v>
      </c>
      <c r="F17" s="24">
        <v>2779781</v>
      </c>
      <c r="G17" s="24">
        <v>258.27999999999997</v>
      </c>
      <c r="H17" s="21"/>
      <c r="I17" s="21"/>
      <c r="J17" s="22"/>
      <c r="K17" s="22" t="s">
        <v>0</v>
      </c>
      <c r="L17" s="33"/>
      <c r="M17" s="30" t="s">
        <v>0</v>
      </c>
      <c r="N17" s="29" t="s">
        <v>38</v>
      </c>
      <c r="O17" s="20"/>
      <c r="P17" s="20"/>
      <c r="Q17" s="18" t="s">
        <v>27</v>
      </c>
      <c r="R17" s="37"/>
      <c r="S17" s="37"/>
      <c r="T17" s="2"/>
      <c r="U17" s="2"/>
    </row>
    <row r="18" spans="1:24" ht="32.1" customHeight="1">
      <c r="A18" s="42"/>
      <c r="C18" s="24" t="s">
        <v>39</v>
      </c>
      <c r="D18" s="24"/>
      <c r="E18" s="24">
        <v>292221</v>
      </c>
      <c r="F18" s="24">
        <v>2779737</v>
      </c>
      <c r="G18" s="24">
        <v>250.1</v>
      </c>
      <c r="H18" s="21"/>
      <c r="I18" s="21"/>
      <c r="J18" s="22"/>
      <c r="K18" s="22" t="s">
        <v>0</v>
      </c>
      <c r="L18" s="33"/>
      <c r="M18" s="30" t="s">
        <v>0</v>
      </c>
      <c r="N18" s="29" t="s">
        <v>40</v>
      </c>
      <c r="O18" s="20"/>
      <c r="P18" s="20"/>
      <c r="Q18" s="18" t="s">
        <v>27</v>
      </c>
      <c r="R18" s="37"/>
      <c r="S18" s="37"/>
      <c r="T18" s="2"/>
      <c r="U18" s="2"/>
    </row>
    <row r="19" spans="1:24" ht="32.1" customHeight="1">
      <c r="A19" s="42"/>
      <c r="C19" s="24" t="s">
        <v>41</v>
      </c>
      <c r="D19" s="24"/>
      <c r="E19" s="24">
        <v>292265</v>
      </c>
      <c r="F19" s="24">
        <v>2779593</v>
      </c>
      <c r="G19" s="24">
        <v>226.07</v>
      </c>
      <c r="H19" s="21"/>
      <c r="I19" s="21"/>
      <c r="J19" s="22"/>
      <c r="K19" s="22" t="s">
        <v>0</v>
      </c>
      <c r="L19" s="33"/>
      <c r="M19" s="30" t="s">
        <v>0</v>
      </c>
      <c r="N19" s="29" t="s">
        <v>40</v>
      </c>
      <c r="O19" s="20"/>
      <c r="P19" s="20"/>
      <c r="Q19" s="18" t="s">
        <v>27</v>
      </c>
      <c r="R19" s="37"/>
      <c r="S19" s="37"/>
      <c r="T19" s="2"/>
      <c r="U19" s="2"/>
    </row>
    <row r="20" spans="1:24" ht="32.1" customHeight="1">
      <c r="A20" s="42"/>
      <c r="C20" s="24"/>
      <c r="D20" s="24" t="s">
        <v>42</v>
      </c>
      <c r="E20" s="24">
        <v>292230</v>
      </c>
      <c r="F20" s="24">
        <v>2779717</v>
      </c>
      <c r="G20" s="24">
        <v>246.18</v>
      </c>
      <c r="H20" s="21"/>
      <c r="I20" s="21"/>
      <c r="J20" s="22">
        <v>1</v>
      </c>
      <c r="K20" s="22">
        <v>1</v>
      </c>
      <c r="L20" s="33">
        <f t="shared" si="0"/>
        <v>1</v>
      </c>
      <c r="M20" s="30">
        <v>1</v>
      </c>
      <c r="N20" s="29" t="s">
        <v>44</v>
      </c>
      <c r="O20" s="20"/>
      <c r="P20" s="20"/>
      <c r="Q20" s="18" t="s">
        <v>43</v>
      </c>
      <c r="R20" s="37"/>
      <c r="S20" s="37"/>
      <c r="T20" s="2"/>
      <c r="U20" s="2"/>
    </row>
    <row r="21" spans="1:24" ht="32.1" customHeight="1">
      <c r="A21" s="42"/>
      <c r="C21" s="24"/>
      <c r="D21" s="24" t="s">
        <v>45</v>
      </c>
      <c r="E21" s="24">
        <v>292254</v>
      </c>
      <c r="F21" s="24">
        <v>2779579</v>
      </c>
      <c r="G21" s="24">
        <v>225.8</v>
      </c>
      <c r="H21" s="21"/>
      <c r="I21" s="21"/>
      <c r="J21" s="22">
        <v>4</v>
      </c>
      <c r="K21" s="22">
        <v>3</v>
      </c>
      <c r="L21" s="33">
        <f t="shared" si="0"/>
        <v>0.75</v>
      </c>
      <c r="M21" s="30" t="s">
        <v>1</v>
      </c>
      <c r="N21" s="29" t="s">
        <v>46</v>
      </c>
      <c r="O21" s="20"/>
      <c r="P21" s="20"/>
      <c r="Q21" s="18" t="s">
        <v>43</v>
      </c>
      <c r="R21" s="37"/>
      <c r="S21" s="37"/>
      <c r="T21" s="2"/>
      <c r="U21" s="2"/>
    </row>
    <row r="22" spans="1:24" ht="32.1" customHeight="1">
      <c r="A22" s="43"/>
      <c r="C22" s="24"/>
      <c r="D22" s="24" t="s">
        <v>47</v>
      </c>
      <c r="E22" s="24">
        <v>292266</v>
      </c>
      <c r="F22" s="24">
        <v>2779592</v>
      </c>
      <c r="G22" s="24">
        <v>226.11</v>
      </c>
      <c r="H22" s="21"/>
      <c r="I22" s="21"/>
      <c r="J22" s="22">
        <v>2</v>
      </c>
      <c r="K22" s="22">
        <v>1</v>
      </c>
      <c r="L22" s="33">
        <f t="shared" si="0"/>
        <v>0.5</v>
      </c>
      <c r="M22" s="30" t="s">
        <v>2</v>
      </c>
      <c r="N22" s="29" t="s">
        <v>48</v>
      </c>
      <c r="O22" s="20"/>
      <c r="P22" s="20"/>
      <c r="Q22" s="18" t="s">
        <v>43</v>
      </c>
      <c r="R22" s="37" t="s">
        <v>161</v>
      </c>
      <c r="S22" s="37"/>
      <c r="T22" s="2"/>
      <c r="U22" s="2"/>
    </row>
    <row r="23" spans="1:24" ht="32.1" customHeight="1">
      <c r="A23" s="45"/>
      <c r="B23" s="24" t="s">
        <v>49</v>
      </c>
      <c r="C23" s="24"/>
      <c r="D23" s="24"/>
      <c r="E23" s="24">
        <v>292416</v>
      </c>
      <c r="F23" s="24">
        <v>2779771</v>
      </c>
      <c r="G23" s="24">
        <v>252.38</v>
      </c>
      <c r="H23" s="21"/>
      <c r="I23" s="21"/>
      <c r="J23" s="22"/>
      <c r="K23" s="22" t="s">
        <v>0</v>
      </c>
      <c r="L23" s="33"/>
      <c r="M23" s="30" t="s">
        <v>0</v>
      </c>
      <c r="N23" s="29" t="s">
        <v>28</v>
      </c>
      <c r="O23" s="20"/>
      <c r="P23" s="20"/>
      <c r="Q23" s="18" t="s">
        <v>27</v>
      </c>
      <c r="R23" s="37"/>
      <c r="S23" s="37"/>
      <c r="T23" s="2"/>
      <c r="U23" s="2"/>
      <c r="X23" s="1" t="s">
        <v>100</v>
      </c>
    </row>
    <row r="24" spans="1:24" ht="32.1" customHeight="1">
      <c r="A24" s="42"/>
      <c r="C24" s="24" t="s">
        <v>50</v>
      </c>
      <c r="D24" s="24"/>
      <c r="E24" s="24">
        <v>292389</v>
      </c>
      <c r="F24" s="24">
        <v>2779719</v>
      </c>
      <c r="G24" s="24">
        <v>237.42</v>
      </c>
      <c r="H24" s="21"/>
      <c r="I24" s="21"/>
      <c r="J24" s="22"/>
      <c r="K24" s="22" t="s">
        <v>0</v>
      </c>
      <c r="L24" s="33"/>
      <c r="M24" s="30" t="s">
        <v>0</v>
      </c>
      <c r="N24" s="29" t="s">
        <v>51</v>
      </c>
      <c r="O24" s="20"/>
      <c r="P24" s="20"/>
      <c r="Q24" s="18" t="s">
        <v>27</v>
      </c>
      <c r="R24" s="37"/>
      <c r="S24" s="37"/>
      <c r="T24" s="2"/>
      <c r="U24" s="2"/>
    </row>
    <row r="25" spans="1:24" ht="32.1" customHeight="1">
      <c r="A25" s="42"/>
      <c r="C25" s="24"/>
      <c r="D25" s="24" t="s">
        <v>52</v>
      </c>
      <c r="E25" s="24">
        <v>292415</v>
      </c>
      <c r="F25" s="24">
        <v>2779749</v>
      </c>
      <c r="G25" s="24">
        <v>247.62</v>
      </c>
      <c r="H25" s="21"/>
      <c r="I25" s="21"/>
      <c r="J25" s="22">
        <v>4</v>
      </c>
      <c r="K25" s="22">
        <v>2</v>
      </c>
      <c r="L25" s="33">
        <f t="shared" si="0"/>
        <v>0.5</v>
      </c>
      <c r="M25" s="30" t="s">
        <v>5</v>
      </c>
      <c r="N25" s="29" t="s">
        <v>53</v>
      </c>
      <c r="O25" s="20"/>
      <c r="P25" s="20"/>
      <c r="Q25" s="18" t="s">
        <v>43</v>
      </c>
      <c r="R25" s="37"/>
      <c r="S25" s="37"/>
      <c r="T25" s="2"/>
      <c r="U25" s="2"/>
    </row>
    <row r="26" spans="1:24" ht="32.1" customHeight="1">
      <c r="A26" s="42"/>
      <c r="C26" s="24"/>
      <c r="D26" s="24" t="s">
        <v>54</v>
      </c>
      <c r="E26" s="24">
        <v>292388</v>
      </c>
      <c r="F26" s="24">
        <v>2779720</v>
      </c>
      <c r="G26" s="24">
        <v>237.4</v>
      </c>
      <c r="H26" s="21"/>
      <c r="I26" s="21"/>
      <c r="J26" s="22">
        <v>4</v>
      </c>
      <c r="K26" s="22">
        <v>1</v>
      </c>
      <c r="L26" s="33">
        <f t="shared" si="0"/>
        <v>0.25</v>
      </c>
      <c r="M26" s="30" t="s">
        <v>5</v>
      </c>
      <c r="N26" s="29" t="s">
        <v>53</v>
      </c>
      <c r="O26" s="20"/>
      <c r="P26" s="20"/>
      <c r="Q26" s="18" t="s">
        <v>43</v>
      </c>
      <c r="R26" s="37"/>
      <c r="S26" s="37"/>
      <c r="T26" s="2"/>
      <c r="U26" s="2"/>
    </row>
    <row r="27" spans="1:24" ht="32.1" customHeight="1">
      <c r="A27" s="42"/>
      <c r="B27" s="24" t="s">
        <v>55</v>
      </c>
      <c r="C27" s="24"/>
      <c r="D27" s="24"/>
      <c r="E27" s="24">
        <v>292504</v>
      </c>
      <c r="F27" s="24">
        <v>2779514</v>
      </c>
      <c r="G27" s="24">
        <v>219.9</v>
      </c>
      <c r="H27" s="21"/>
      <c r="I27" s="21"/>
      <c r="J27" s="22"/>
      <c r="K27" s="22" t="s">
        <v>0</v>
      </c>
      <c r="L27" s="33"/>
      <c r="M27" s="30" t="s">
        <v>0</v>
      </c>
      <c r="N27" s="29" t="s">
        <v>28</v>
      </c>
      <c r="O27" s="20"/>
      <c r="P27" s="20"/>
      <c r="Q27" s="18" t="s">
        <v>27</v>
      </c>
      <c r="R27" s="37"/>
      <c r="S27" s="37"/>
      <c r="T27" s="2"/>
      <c r="U27" s="2"/>
    </row>
    <row r="28" spans="1:24" ht="32.1" customHeight="1">
      <c r="A28" s="42"/>
      <c r="C28" s="24" t="s">
        <v>56</v>
      </c>
      <c r="D28" s="24"/>
      <c r="E28" s="24">
        <v>292500</v>
      </c>
      <c r="F28" s="24">
        <v>2779503</v>
      </c>
      <c r="G28" s="24">
        <v>216.21</v>
      </c>
      <c r="H28" s="21"/>
      <c r="I28" s="21"/>
      <c r="J28" s="22"/>
      <c r="K28" s="22" t="s">
        <v>0</v>
      </c>
      <c r="L28" s="33"/>
      <c r="M28" s="30" t="s">
        <v>0</v>
      </c>
      <c r="N28" s="29" t="s">
        <v>40</v>
      </c>
      <c r="O28" s="20"/>
      <c r="P28" s="20"/>
      <c r="Q28" s="18" t="s">
        <v>27</v>
      </c>
      <c r="R28" s="37"/>
      <c r="S28" s="37"/>
      <c r="T28" s="2"/>
      <c r="U28" s="2"/>
    </row>
    <row r="29" spans="1:24" ht="32.1" customHeight="1">
      <c r="A29" s="42"/>
      <c r="C29" s="24"/>
      <c r="D29" s="24" t="s">
        <v>57</v>
      </c>
      <c r="E29" s="24">
        <v>292495</v>
      </c>
      <c r="F29" s="24">
        <v>2779495</v>
      </c>
      <c r="G29" s="24">
        <v>215.49</v>
      </c>
      <c r="H29" s="21"/>
      <c r="I29" s="21"/>
      <c r="J29" s="22">
        <v>6</v>
      </c>
      <c r="K29" s="22">
        <v>0</v>
      </c>
      <c r="L29" s="33">
        <f t="shared" si="0"/>
        <v>0</v>
      </c>
      <c r="M29" s="30" t="s">
        <v>4</v>
      </c>
      <c r="N29" s="29" t="s">
        <v>31</v>
      </c>
      <c r="O29" s="20"/>
      <c r="P29" s="20"/>
      <c r="Q29" s="18" t="s">
        <v>43</v>
      </c>
      <c r="R29" s="37"/>
      <c r="S29" s="37"/>
      <c r="T29" s="2"/>
      <c r="U29" s="2"/>
    </row>
    <row r="30" spans="1:24" ht="32.1" customHeight="1">
      <c r="A30" s="42"/>
      <c r="B30" s="24" t="s">
        <v>58</v>
      </c>
      <c r="C30" s="24"/>
      <c r="D30" s="24"/>
      <c r="E30" s="24" t="s">
        <v>280</v>
      </c>
      <c r="F30" s="24">
        <v>2779185</v>
      </c>
      <c r="G30" s="24">
        <v>145.16</v>
      </c>
      <c r="H30" s="21"/>
      <c r="I30" s="21"/>
      <c r="J30" s="22"/>
      <c r="K30" s="22" t="s">
        <v>0</v>
      </c>
      <c r="L30" s="33"/>
      <c r="M30" s="30" t="s">
        <v>0</v>
      </c>
      <c r="N30" s="29" t="s">
        <v>59</v>
      </c>
      <c r="O30" s="20"/>
      <c r="P30" s="20"/>
      <c r="Q30" s="18" t="s">
        <v>43</v>
      </c>
      <c r="R30" s="37"/>
      <c r="S30" s="37"/>
      <c r="T30" s="2"/>
      <c r="U30" s="2"/>
    </row>
    <row r="31" spans="1:24" ht="32.1" customHeight="1">
      <c r="A31" s="42"/>
      <c r="C31" s="24" t="s">
        <v>60</v>
      </c>
      <c r="D31" s="24"/>
      <c r="E31" s="24" t="s">
        <v>281</v>
      </c>
      <c r="F31" s="24">
        <v>2779165</v>
      </c>
      <c r="G31" s="24">
        <v>135.69999999999999</v>
      </c>
      <c r="H31" s="21"/>
      <c r="I31" s="21"/>
      <c r="J31" s="22"/>
      <c r="K31" s="22" t="s">
        <v>0</v>
      </c>
      <c r="L31" s="33"/>
      <c r="M31" s="30" t="s">
        <v>0</v>
      </c>
      <c r="N31" s="29" t="s">
        <v>40</v>
      </c>
      <c r="O31" s="20"/>
      <c r="P31" s="20"/>
      <c r="Q31" s="18" t="s">
        <v>43</v>
      </c>
      <c r="R31" s="37"/>
      <c r="S31" s="37"/>
      <c r="T31" s="2"/>
      <c r="U31" s="2"/>
    </row>
    <row r="32" spans="1:24" ht="32.1" customHeight="1">
      <c r="A32" s="42"/>
      <c r="C32" s="24"/>
      <c r="D32" s="24" t="s">
        <v>61</v>
      </c>
      <c r="E32" s="24" t="s">
        <v>281</v>
      </c>
      <c r="F32" s="24">
        <v>2779164</v>
      </c>
      <c r="G32" s="24">
        <v>134.94</v>
      </c>
      <c r="H32" s="21"/>
      <c r="I32" s="21"/>
      <c r="J32" s="22">
        <v>2</v>
      </c>
      <c r="K32" s="22">
        <v>1</v>
      </c>
      <c r="L32" s="33">
        <f t="shared" si="0"/>
        <v>0.5</v>
      </c>
      <c r="M32" s="30" t="s">
        <v>2</v>
      </c>
      <c r="N32" s="29" t="s">
        <v>48</v>
      </c>
      <c r="O32" s="20"/>
      <c r="P32" s="20"/>
      <c r="Q32" s="18" t="s">
        <v>43</v>
      </c>
      <c r="R32" s="37"/>
      <c r="S32" s="37"/>
      <c r="T32" s="2"/>
      <c r="U32" s="2"/>
    </row>
    <row r="33" spans="1:21" ht="32.1" customHeight="1">
      <c r="A33" s="42"/>
      <c r="C33" s="24"/>
      <c r="D33" s="24" t="s">
        <v>62</v>
      </c>
      <c r="E33" s="24">
        <v>292586</v>
      </c>
      <c r="F33" s="24">
        <v>2779087</v>
      </c>
      <c r="G33" s="24">
        <v>121.1</v>
      </c>
      <c r="H33" s="21"/>
      <c r="I33" s="21"/>
      <c r="J33" s="22">
        <v>3</v>
      </c>
      <c r="K33" s="22">
        <v>3</v>
      </c>
      <c r="L33" s="33">
        <f t="shared" si="0"/>
        <v>1</v>
      </c>
      <c r="M33" s="30" t="s">
        <v>3</v>
      </c>
      <c r="N33" s="29" t="s">
        <v>63</v>
      </c>
      <c r="O33" s="20"/>
      <c r="P33" s="20"/>
      <c r="Q33" s="18" t="s">
        <v>43</v>
      </c>
      <c r="R33" s="37"/>
      <c r="S33" s="37"/>
      <c r="T33" s="2"/>
      <c r="U33" s="2"/>
    </row>
    <row r="34" spans="1:21" ht="32.1" customHeight="1">
      <c r="A34" s="42"/>
      <c r="C34" s="24"/>
      <c r="D34" s="24" t="s">
        <v>64</v>
      </c>
      <c r="E34" s="24">
        <v>292620</v>
      </c>
      <c r="F34" s="24">
        <v>2779009</v>
      </c>
      <c r="G34" s="24">
        <v>109.74</v>
      </c>
      <c r="H34" s="21"/>
      <c r="I34" s="21"/>
      <c r="J34" s="22">
        <v>1</v>
      </c>
      <c r="K34" s="22">
        <v>1</v>
      </c>
      <c r="L34" s="33">
        <f t="shared" si="0"/>
        <v>1</v>
      </c>
      <c r="M34" s="30">
        <v>1</v>
      </c>
      <c r="N34" s="29" t="s">
        <v>65</v>
      </c>
      <c r="O34" s="20"/>
      <c r="P34" s="20"/>
      <c r="Q34" s="18" t="s">
        <v>43</v>
      </c>
      <c r="R34" s="37"/>
      <c r="S34" s="37"/>
      <c r="T34" s="2"/>
      <c r="U34" s="2"/>
    </row>
    <row r="35" spans="1:21" ht="32.1" customHeight="1">
      <c r="A35" s="42"/>
      <c r="C35" s="24"/>
      <c r="D35" s="24" t="s">
        <v>66</v>
      </c>
      <c r="E35" s="24">
        <v>292621</v>
      </c>
      <c r="F35" s="24">
        <v>2778924</v>
      </c>
      <c r="G35" s="24">
        <v>102.88</v>
      </c>
      <c r="H35" s="21"/>
      <c r="I35" s="21"/>
      <c r="J35" s="22">
        <v>2</v>
      </c>
      <c r="K35" s="22">
        <v>2</v>
      </c>
      <c r="L35" s="33">
        <f t="shared" si="0"/>
        <v>1</v>
      </c>
      <c r="M35" s="30">
        <v>2</v>
      </c>
      <c r="N35" s="29" t="s">
        <v>67</v>
      </c>
      <c r="O35" s="20"/>
      <c r="P35" s="20"/>
      <c r="Q35" s="18" t="s">
        <v>43</v>
      </c>
      <c r="R35" s="37" t="s">
        <v>162</v>
      </c>
      <c r="S35" s="37"/>
      <c r="T35" s="2"/>
      <c r="U35" s="2"/>
    </row>
    <row r="36" spans="1:21" ht="32.1" customHeight="1">
      <c r="A36" s="42"/>
      <c r="C36" s="24"/>
      <c r="D36" s="24" t="s">
        <v>68</v>
      </c>
      <c r="E36" s="24">
        <v>292653</v>
      </c>
      <c r="F36" s="24">
        <v>2778876</v>
      </c>
      <c r="G36" s="24">
        <v>96.39</v>
      </c>
      <c r="H36" s="21"/>
      <c r="I36" s="21"/>
      <c r="J36" s="22">
        <v>1</v>
      </c>
      <c r="K36" s="22">
        <v>1</v>
      </c>
      <c r="L36" s="33">
        <f t="shared" si="0"/>
        <v>1</v>
      </c>
      <c r="M36" s="30">
        <v>1</v>
      </c>
      <c r="N36" s="29" t="s">
        <v>69</v>
      </c>
      <c r="O36" s="20"/>
      <c r="P36" s="20"/>
      <c r="Q36" s="18" t="s">
        <v>43</v>
      </c>
      <c r="R36" s="37"/>
      <c r="S36" s="37"/>
      <c r="T36" s="2"/>
      <c r="U36" s="2"/>
    </row>
    <row r="37" spans="1:21" ht="32.1" customHeight="1">
      <c r="A37" s="42"/>
      <c r="C37" s="24"/>
      <c r="D37" s="24" t="s">
        <v>70</v>
      </c>
      <c r="E37" s="24">
        <v>292670</v>
      </c>
      <c r="F37" s="24">
        <v>2778815</v>
      </c>
      <c r="G37" s="24">
        <v>91.25</v>
      </c>
      <c r="H37" s="21"/>
      <c r="I37" s="21"/>
      <c r="J37" s="22">
        <v>4</v>
      </c>
      <c r="K37" s="22">
        <v>1</v>
      </c>
      <c r="L37" s="33">
        <f t="shared" si="0"/>
        <v>0.25</v>
      </c>
      <c r="M37" s="30" t="s">
        <v>1</v>
      </c>
      <c r="N37" s="29" t="s">
        <v>46</v>
      </c>
      <c r="O37" s="20"/>
      <c r="P37" s="20"/>
      <c r="Q37" s="18" t="s">
        <v>43</v>
      </c>
      <c r="R37" s="37"/>
      <c r="S37" s="37"/>
      <c r="T37" s="2"/>
      <c r="U37" s="2"/>
    </row>
    <row r="38" spans="1:21" ht="32.1" customHeight="1">
      <c r="A38" s="42"/>
      <c r="C38" s="24"/>
      <c r="D38" s="24" t="s">
        <v>71</v>
      </c>
      <c r="E38" s="24" t="s">
        <v>282</v>
      </c>
      <c r="F38" s="24">
        <v>2778802</v>
      </c>
      <c r="G38" s="24">
        <v>90.13</v>
      </c>
      <c r="H38" s="21"/>
      <c r="I38" s="21"/>
      <c r="J38" s="22">
        <v>2</v>
      </c>
      <c r="K38" s="22">
        <v>1</v>
      </c>
      <c r="L38" s="33">
        <f t="shared" si="0"/>
        <v>0.5</v>
      </c>
      <c r="M38" s="30">
        <v>2</v>
      </c>
      <c r="N38" s="29" t="s">
        <v>72</v>
      </c>
      <c r="O38" s="20"/>
      <c r="P38" s="20"/>
      <c r="Q38" s="18" t="s">
        <v>43</v>
      </c>
      <c r="R38" s="37"/>
      <c r="S38" s="37"/>
      <c r="T38" s="2"/>
      <c r="U38" s="2"/>
    </row>
    <row r="39" spans="1:21" ht="32.1" customHeight="1">
      <c r="A39" s="42"/>
      <c r="B39" s="24" t="s">
        <v>73</v>
      </c>
      <c r="C39" s="24"/>
      <c r="D39" s="24"/>
      <c r="E39" s="24" t="s">
        <v>283</v>
      </c>
      <c r="F39" s="24">
        <v>2778906</v>
      </c>
      <c r="G39" s="24">
        <v>101.42</v>
      </c>
      <c r="H39" s="21"/>
      <c r="I39" s="21"/>
      <c r="J39" s="22"/>
      <c r="K39" s="22" t="s">
        <v>0</v>
      </c>
      <c r="L39" s="33"/>
      <c r="M39" s="30" t="s">
        <v>0</v>
      </c>
      <c r="N39" s="29" t="s">
        <v>59</v>
      </c>
      <c r="O39" s="20"/>
      <c r="P39" s="20"/>
      <c r="Q39" s="18" t="s">
        <v>74</v>
      </c>
      <c r="R39" s="37" t="s">
        <v>163</v>
      </c>
      <c r="S39" s="37"/>
      <c r="T39" s="2"/>
      <c r="U39" s="2"/>
    </row>
    <row r="40" spans="1:21" ht="32.1" customHeight="1">
      <c r="A40" s="42"/>
      <c r="C40" s="24" t="s">
        <v>75</v>
      </c>
      <c r="D40" s="24"/>
      <c r="E40" s="24">
        <v>292672</v>
      </c>
      <c r="F40" s="24" t="s">
        <v>284</v>
      </c>
      <c r="G40" s="24">
        <v>89.32</v>
      </c>
      <c r="H40" s="21"/>
      <c r="I40" s="21"/>
      <c r="J40" s="22"/>
      <c r="K40" s="22" t="s">
        <v>0</v>
      </c>
      <c r="L40" s="33"/>
      <c r="M40" s="30" t="s">
        <v>0</v>
      </c>
      <c r="N40" s="29" t="s">
        <v>76</v>
      </c>
      <c r="O40" s="20"/>
      <c r="P40" s="20"/>
      <c r="Q40" s="18" t="s">
        <v>74</v>
      </c>
      <c r="R40" s="37"/>
      <c r="S40" s="37"/>
      <c r="T40" s="2"/>
      <c r="U40" s="2"/>
    </row>
    <row r="41" spans="1:21" ht="32.1" customHeight="1">
      <c r="A41" s="42"/>
      <c r="C41" s="24"/>
      <c r="D41" s="24" t="s">
        <v>77</v>
      </c>
      <c r="E41" s="24">
        <v>292996</v>
      </c>
      <c r="F41" s="24">
        <v>2778241</v>
      </c>
      <c r="G41" s="24">
        <v>51.18</v>
      </c>
      <c r="H41" s="21"/>
      <c r="I41" s="21"/>
      <c r="J41" s="22">
        <v>3</v>
      </c>
      <c r="K41" s="22">
        <v>0</v>
      </c>
      <c r="L41" s="33">
        <f t="shared" si="0"/>
        <v>0</v>
      </c>
      <c r="M41" s="30" t="s">
        <v>3</v>
      </c>
      <c r="N41" s="29" t="s">
        <v>63</v>
      </c>
      <c r="O41" s="20"/>
      <c r="P41" s="20"/>
      <c r="Q41" s="18" t="s">
        <v>74</v>
      </c>
      <c r="R41" s="37"/>
      <c r="S41" s="37"/>
      <c r="T41" s="2"/>
      <c r="U41" s="2"/>
    </row>
    <row r="42" spans="1:21" ht="32.1" customHeight="1">
      <c r="A42" s="42"/>
      <c r="C42" s="24"/>
      <c r="D42" s="24" t="s">
        <v>78</v>
      </c>
      <c r="E42" s="24">
        <v>293250</v>
      </c>
      <c r="F42" s="24">
        <v>2778206</v>
      </c>
      <c r="G42" s="24">
        <v>46.06</v>
      </c>
      <c r="H42" s="21"/>
      <c r="I42" s="21"/>
      <c r="J42" s="22">
        <v>3</v>
      </c>
      <c r="K42" s="22">
        <v>1</v>
      </c>
      <c r="L42" s="33">
        <f t="shared" si="0"/>
        <v>0.33333333333333331</v>
      </c>
      <c r="M42" s="30">
        <v>3</v>
      </c>
      <c r="N42" s="29" t="s">
        <v>79</v>
      </c>
      <c r="O42" s="20"/>
      <c r="P42" s="20"/>
      <c r="Q42" s="18" t="s">
        <v>74</v>
      </c>
      <c r="R42" s="37"/>
      <c r="S42" s="37"/>
      <c r="T42" s="2"/>
      <c r="U42" s="2"/>
    </row>
    <row r="43" spans="1:21" ht="32.1" customHeight="1">
      <c r="A43" s="42"/>
      <c r="C43" s="24"/>
      <c r="D43" s="24" t="s">
        <v>80</v>
      </c>
      <c r="E43" s="24">
        <v>293324</v>
      </c>
      <c r="F43" s="24">
        <v>2778136</v>
      </c>
      <c r="G43" s="24">
        <v>42.72</v>
      </c>
      <c r="H43" s="21"/>
      <c r="I43" s="21"/>
      <c r="J43" s="22">
        <v>1</v>
      </c>
      <c r="K43" s="22">
        <v>1</v>
      </c>
      <c r="L43" s="33">
        <f t="shared" si="0"/>
        <v>1</v>
      </c>
      <c r="M43" s="30">
        <v>1</v>
      </c>
      <c r="N43" s="29" t="s">
        <v>81</v>
      </c>
      <c r="O43" s="20"/>
      <c r="P43" s="20"/>
      <c r="Q43" s="18" t="s">
        <v>74</v>
      </c>
      <c r="R43" s="37"/>
      <c r="S43" s="37"/>
      <c r="T43" s="2"/>
      <c r="U43" s="2"/>
    </row>
    <row r="44" spans="1:21" ht="32.1" customHeight="1">
      <c r="A44" s="42"/>
      <c r="C44" s="24"/>
      <c r="D44" s="24" t="s">
        <v>82</v>
      </c>
      <c r="E44" s="24">
        <v>293382</v>
      </c>
      <c r="F44" s="24">
        <v>2778260</v>
      </c>
      <c r="G44" s="24">
        <v>43.36</v>
      </c>
      <c r="H44" s="21"/>
      <c r="I44" s="21"/>
      <c r="J44" s="22">
        <v>4</v>
      </c>
      <c r="K44" s="22">
        <v>2</v>
      </c>
      <c r="L44" s="33">
        <f t="shared" si="0"/>
        <v>0.5</v>
      </c>
      <c r="M44" s="30" t="s">
        <v>1</v>
      </c>
      <c r="N44" s="29" t="s">
        <v>46</v>
      </c>
      <c r="O44" s="20"/>
      <c r="P44" s="20"/>
      <c r="Q44" s="18" t="s">
        <v>74</v>
      </c>
      <c r="R44" s="37"/>
      <c r="S44" s="37"/>
      <c r="T44" s="2"/>
      <c r="U44" s="2"/>
    </row>
    <row r="45" spans="1:21" ht="32.1" customHeight="1">
      <c r="A45" s="42"/>
      <c r="B45" s="24" t="s">
        <v>83</v>
      </c>
      <c r="C45" s="24"/>
      <c r="D45" s="24"/>
      <c r="E45" s="24" t="s">
        <v>285</v>
      </c>
      <c r="F45" s="24" t="s">
        <v>286</v>
      </c>
      <c r="G45" s="24">
        <v>75</v>
      </c>
      <c r="H45" s="21"/>
      <c r="I45" s="21"/>
      <c r="J45" s="22"/>
      <c r="K45" s="22" t="s">
        <v>0</v>
      </c>
      <c r="L45" s="33"/>
      <c r="M45" s="30" t="s">
        <v>0</v>
      </c>
      <c r="N45" s="29" t="s">
        <v>84</v>
      </c>
      <c r="O45" s="20"/>
      <c r="P45" s="20"/>
      <c r="Q45" s="18" t="s">
        <v>74</v>
      </c>
      <c r="R45" s="37"/>
      <c r="S45" s="37"/>
      <c r="T45" s="2"/>
      <c r="U45" s="2"/>
    </row>
    <row r="46" spans="1:21" ht="32.1" customHeight="1">
      <c r="A46" s="42"/>
      <c r="C46" s="24" t="s">
        <v>85</v>
      </c>
      <c r="D46" s="24"/>
      <c r="E46" s="24">
        <v>292770</v>
      </c>
      <c r="F46" s="24">
        <v>2778524</v>
      </c>
      <c r="G46" s="24">
        <v>66.75</v>
      </c>
      <c r="H46" s="21"/>
      <c r="I46" s="21"/>
      <c r="J46" s="22"/>
      <c r="K46" s="22" t="s">
        <v>0</v>
      </c>
      <c r="L46" s="33"/>
      <c r="M46" s="30" t="s">
        <v>0</v>
      </c>
      <c r="N46" s="29" t="s">
        <v>76</v>
      </c>
      <c r="O46" s="20"/>
      <c r="P46" s="20"/>
      <c r="Q46" s="18" t="s">
        <v>74</v>
      </c>
      <c r="R46" s="37"/>
      <c r="S46" s="37"/>
      <c r="T46" s="2"/>
      <c r="U46" s="2"/>
    </row>
    <row r="47" spans="1:21" ht="32.1" customHeight="1">
      <c r="A47" s="42"/>
      <c r="C47" s="24"/>
      <c r="D47" s="24" t="s">
        <v>86</v>
      </c>
      <c r="E47" s="24">
        <v>292770</v>
      </c>
      <c r="F47" s="24">
        <v>2778522</v>
      </c>
      <c r="G47" s="24">
        <v>66.81</v>
      </c>
      <c r="H47" s="21"/>
      <c r="I47" s="21"/>
      <c r="J47" s="22">
        <v>1</v>
      </c>
      <c r="K47" s="22">
        <v>0</v>
      </c>
      <c r="L47" s="33">
        <f t="shared" si="0"/>
        <v>0</v>
      </c>
      <c r="M47" s="30">
        <v>1</v>
      </c>
      <c r="N47" s="29" t="s">
        <v>87</v>
      </c>
      <c r="O47" s="20"/>
      <c r="P47" s="20"/>
      <c r="Q47" s="18" t="s">
        <v>74</v>
      </c>
      <c r="R47" s="37"/>
      <c r="S47" s="37"/>
      <c r="T47" s="2"/>
      <c r="U47" s="2"/>
    </row>
    <row r="48" spans="1:21" ht="32.1" customHeight="1">
      <c r="A48" s="42"/>
      <c r="C48" s="24"/>
      <c r="D48" s="24" t="s">
        <v>88</v>
      </c>
      <c r="E48" s="24">
        <v>292782</v>
      </c>
      <c r="F48" s="24">
        <v>2778372</v>
      </c>
      <c r="G48" s="24">
        <v>59.65</v>
      </c>
      <c r="H48" s="21"/>
      <c r="I48" s="21"/>
      <c r="J48" s="22">
        <v>1</v>
      </c>
      <c r="K48" s="22">
        <v>0</v>
      </c>
      <c r="L48" s="33">
        <f t="shared" si="0"/>
        <v>0</v>
      </c>
      <c r="M48" s="30">
        <v>1</v>
      </c>
      <c r="N48" s="29" t="s">
        <v>89</v>
      </c>
      <c r="O48" s="20"/>
      <c r="P48" s="20"/>
      <c r="Q48" s="18" t="s">
        <v>74</v>
      </c>
      <c r="R48" s="37"/>
      <c r="S48" s="37"/>
      <c r="T48" s="2"/>
      <c r="U48" s="2"/>
    </row>
    <row r="49" spans="1:21" ht="32.1" customHeight="1">
      <c r="A49" s="42"/>
      <c r="C49" s="24"/>
      <c r="D49" s="24" t="s">
        <v>90</v>
      </c>
      <c r="E49" s="24">
        <v>292810</v>
      </c>
      <c r="F49" s="24">
        <v>2778363</v>
      </c>
      <c r="G49" s="24">
        <v>58.16</v>
      </c>
      <c r="H49" s="21"/>
      <c r="I49" s="21"/>
      <c r="J49" s="22">
        <v>2</v>
      </c>
      <c r="K49" s="22">
        <v>0</v>
      </c>
      <c r="L49" s="33">
        <f t="shared" si="0"/>
        <v>0</v>
      </c>
      <c r="M49" s="30" t="s">
        <v>2</v>
      </c>
      <c r="N49" s="29" t="s">
        <v>48</v>
      </c>
      <c r="O49" s="20"/>
      <c r="P49" s="20"/>
      <c r="Q49" s="18" t="s">
        <v>74</v>
      </c>
      <c r="R49" s="37"/>
      <c r="S49" s="37"/>
      <c r="T49" s="2"/>
      <c r="U49" s="2"/>
    </row>
    <row r="50" spans="1:21" ht="32.1" customHeight="1">
      <c r="A50" s="42"/>
      <c r="C50" s="24"/>
      <c r="D50" s="24" t="s">
        <v>91</v>
      </c>
      <c r="E50" s="24">
        <v>292806</v>
      </c>
      <c r="F50" s="24">
        <v>2778358</v>
      </c>
      <c r="G50" s="24">
        <v>57.91</v>
      </c>
      <c r="H50" s="21"/>
      <c r="I50" s="21"/>
      <c r="J50" s="22">
        <v>3</v>
      </c>
      <c r="K50" s="22">
        <v>1</v>
      </c>
      <c r="L50" s="33">
        <f t="shared" si="0"/>
        <v>0.33333333333333331</v>
      </c>
      <c r="M50" s="30" t="s">
        <v>3</v>
      </c>
      <c r="N50" s="29" t="s">
        <v>63</v>
      </c>
      <c r="O50" s="20"/>
      <c r="P50" s="20"/>
      <c r="Q50" s="18" t="s">
        <v>74</v>
      </c>
      <c r="R50" s="37"/>
      <c r="S50" s="37"/>
      <c r="T50" s="2"/>
      <c r="U50" s="2"/>
    </row>
    <row r="51" spans="1:21" ht="32.1" customHeight="1">
      <c r="A51" s="42"/>
      <c r="C51" s="24"/>
      <c r="D51" s="24" t="s">
        <v>92</v>
      </c>
      <c r="E51" s="24">
        <v>292851</v>
      </c>
      <c r="F51" s="24">
        <v>2778306</v>
      </c>
      <c r="G51" s="24">
        <v>54.23</v>
      </c>
      <c r="H51" s="21"/>
      <c r="I51" s="21"/>
      <c r="J51" s="22">
        <v>1</v>
      </c>
      <c r="K51" s="22">
        <v>0</v>
      </c>
      <c r="L51" s="33">
        <f t="shared" si="0"/>
        <v>0</v>
      </c>
      <c r="M51" s="30">
        <v>1</v>
      </c>
      <c r="N51" s="29" t="s">
        <v>89</v>
      </c>
      <c r="O51" s="20"/>
      <c r="P51" s="20"/>
      <c r="Q51" s="18" t="s">
        <v>74</v>
      </c>
      <c r="R51" s="37"/>
      <c r="S51" s="37"/>
      <c r="T51" s="2"/>
      <c r="U51" s="2"/>
    </row>
    <row r="52" spans="1:21" ht="32.1" customHeight="1">
      <c r="A52" s="43"/>
      <c r="C52" s="24"/>
      <c r="D52" s="24" t="s">
        <v>93</v>
      </c>
      <c r="E52" s="24">
        <v>292839</v>
      </c>
      <c r="F52" s="24">
        <v>2778244</v>
      </c>
      <c r="G52" s="24">
        <v>52.19</v>
      </c>
      <c r="H52" s="21"/>
      <c r="I52" s="21"/>
      <c r="J52" s="22">
        <v>3</v>
      </c>
      <c r="K52" s="22">
        <v>0</v>
      </c>
      <c r="L52" s="33">
        <f t="shared" si="0"/>
        <v>0</v>
      </c>
      <c r="M52" s="30" t="s">
        <v>296</v>
      </c>
      <c r="N52" s="29" t="s">
        <v>297</v>
      </c>
      <c r="O52" s="20"/>
      <c r="P52" s="20"/>
      <c r="Q52" s="18" t="s">
        <v>74</v>
      </c>
      <c r="R52" s="37"/>
      <c r="S52" s="37"/>
      <c r="T52" s="2"/>
      <c r="U52" s="2"/>
    </row>
    <row r="53" spans="1:21" ht="32.1" customHeight="1">
      <c r="A53" s="44" t="s">
        <v>94</v>
      </c>
      <c r="B53" s="24" t="s">
        <v>98</v>
      </c>
      <c r="C53" s="24"/>
      <c r="D53" s="24"/>
      <c r="E53" s="24">
        <v>293563</v>
      </c>
      <c r="F53" s="24">
        <v>2779771</v>
      </c>
      <c r="G53" s="24">
        <v>230.81</v>
      </c>
      <c r="H53" s="21"/>
      <c r="I53" s="21"/>
      <c r="J53" s="22"/>
      <c r="K53" s="22"/>
      <c r="L53" s="33"/>
      <c r="M53" s="30"/>
      <c r="N53" s="29" t="s">
        <v>40</v>
      </c>
      <c r="O53" s="20"/>
      <c r="P53" s="20"/>
      <c r="Q53" s="18" t="s">
        <v>27</v>
      </c>
      <c r="R53" s="37"/>
      <c r="S53" s="37"/>
      <c r="T53" s="2"/>
      <c r="U53" s="2"/>
    </row>
    <row r="54" spans="1:21" ht="32.1" customHeight="1">
      <c r="A54" s="44"/>
      <c r="B54" s="45"/>
      <c r="C54" s="24" t="s">
        <v>97</v>
      </c>
      <c r="D54" s="24"/>
      <c r="E54" s="24">
        <v>293569</v>
      </c>
      <c r="F54" s="24">
        <v>2779687</v>
      </c>
      <c r="G54" s="24">
        <v>192.71</v>
      </c>
      <c r="H54" s="21"/>
      <c r="I54" s="21"/>
      <c r="J54" s="22"/>
      <c r="K54" s="22"/>
      <c r="L54" s="33"/>
      <c r="M54" s="30"/>
      <c r="N54" s="29" t="s">
        <v>99</v>
      </c>
      <c r="O54" s="20"/>
      <c r="P54" s="20"/>
      <c r="Q54" s="18" t="s">
        <v>27</v>
      </c>
      <c r="R54" s="37"/>
      <c r="S54" s="37"/>
      <c r="T54" s="2"/>
      <c r="U54" s="2"/>
    </row>
    <row r="55" spans="1:21" ht="32.1" customHeight="1">
      <c r="A55" s="44"/>
      <c r="B55" s="42"/>
      <c r="C55" s="24"/>
      <c r="D55" s="24" t="s">
        <v>95</v>
      </c>
      <c r="E55" s="24">
        <v>293595</v>
      </c>
      <c r="F55" s="24">
        <v>2779577</v>
      </c>
      <c r="G55" s="24">
        <v>167.15</v>
      </c>
      <c r="H55" s="21"/>
      <c r="I55" s="21"/>
      <c r="J55" s="22">
        <v>2</v>
      </c>
      <c r="K55" s="22" t="s">
        <v>0</v>
      </c>
      <c r="L55" s="33"/>
      <c r="M55" s="30" t="s">
        <v>2</v>
      </c>
      <c r="N55" s="29" t="s">
        <v>48</v>
      </c>
      <c r="O55" s="20"/>
      <c r="P55" s="20"/>
      <c r="Q55" s="18" t="s">
        <v>27</v>
      </c>
      <c r="R55" s="37"/>
      <c r="S55" s="37"/>
      <c r="T55" s="2"/>
      <c r="U55" s="2"/>
    </row>
    <row r="56" spans="1:21" ht="32.1" customHeight="1">
      <c r="A56" s="44"/>
      <c r="B56" s="43"/>
      <c r="C56" s="24"/>
      <c r="D56" s="24" t="s">
        <v>96</v>
      </c>
      <c r="E56" s="24">
        <v>293577</v>
      </c>
      <c r="F56" s="24">
        <v>2779516</v>
      </c>
      <c r="G56" s="24">
        <v>156.04</v>
      </c>
      <c r="H56" s="21"/>
      <c r="I56" s="21"/>
      <c r="J56" s="22">
        <v>4</v>
      </c>
      <c r="K56" s="22" t="s">
        <v>0</v>
      </c>
      <c r="L56" s="33"/>
      <c r="M56" s="30" t="s">
        <v>1</v>
      </c>
      <c r="N56" s="29" t="s">
        <v>46</v>
      </c>
      <c r="O56" s="20"/>
      <c r="P56" s="20"/>
      <c r="Q56" s="18" t="s">
        <v>27</v>
      </c>
      <c r="R56" s="37"/>
      <c r="S56" s="37"/>
      <c r="T56" s="2"/>
      <c r="U56" s="2"/>
    </row>
  </sheetData>
  <mergeCells count="13">
    <mergeCell ref="A2:A4"/>
    <mergeCell ref="A5:A7"/>
    <mergeCell ref="A8:A10"/>
    <mergeCell ref="A11:A13"/>
    <mergeCell ref="A14:A16"/>
    <mergeCell ref="A45:A52"/>
    <mergeCell ref="A53:A56"/>
    <mergeCell ref="B54:B56"/>
    <mergeCell ref="A17:A22"/>
    <mergeCell ref="A23:A26"/>
    <mergeCell ref="A27:A29"/>
    <mergeCell ref="A30:A38"/>
    <mergeCell ref="A39:A44"/>
  </mergeCells>
  <phoneticPr fontId="1" type="noConversion"/>
  <pageMargins left="0.25" right="0.25" top="0.75" bottom="0.75" header="0.3" footer="0.3"/>
  <pageSetup paperSize="9" scale="54"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CEB9-3A0E-4BA5-8025-D346E49E7C88}">
  <dimension ref="A1:E25"/>
  <sheetViews>
    <sheetView tabSelected="1" workbookViewId="0">
      <selection activeCell="C26" sqref="C26"/>
    </sheetView>
  </sheetViews>
  <sheetFormatPr defaultRowHeight="16.5"/>
  <cols>
    <col min="1" max="1" width="9" style="3"/>
    <col min="2" max="2" width="26.75" style="3" customWidth="1"/>
    <col min="3" max="3" width="49.25" style="3" bestFit="1" customWidth="1"/>
    <col min="4" max="4" width="27.25" customWidth="1"/>
    <col min="5" max="5" width="31.75" bestFit="1" customWidth="1"/>
  </cols>
  <sheetData>
    <row r="1" spans="1:5">
      <c r="A1" s="3" t="s">
        <v>112</v>
      </c>
      <c r="B1" s="3" t="s">
        <v>298</v>
      </c>
      <c r="C1" s="3" t="s">
        <v>110</v>
      </c>
      <c r="D1" s="3" t="s">
        <v>299</v>
      </c>
      <c r="E1" s="3" t="s">
        <v>300</v>
      </c>
    </row>
    <row r="2" spans="1:5">
      <c r="A2" s="73" t="s">
        <v>301</v>
      </c>
      <c r="B2" s="69" t="s">
        <v>109</v>
      </c>
      <c r="C2" s="69" t="s">
        <v>111</v>
      </c>
      <c r="D2" t="s">
        <v>171</v>
      </c>
    </row>
    <row r="3" spans="1:5">
      <c r="A3" s="73"/>
      <c r="B3" s="69" t="s">
        <v>138</v>
      </c>
      <c r="C3" s="69" t="s">
        <v>139</v>
      </c>
    </row>
    <row r="4" spans="1:5">
      <c r="A4" s="73"/>
      <c r="B4" s="69" t="s">
        <v>137</v>
      </c>
      <c r="C4" s="69" t="s">
        <v>136</v>
      </c>
    </row>
    <row r="5" spans="1:5">
      <c r="A5" s="73"/>
      <c r="B5" s="69" t="s">
        <v>115</v>
      </c>
      <c r="C5" s="69" t="s">
        <v>121</v>
      </c>
      <c r="D5" t="s">
        <v>259</v>
      </c>
    </row>
    <row r="6" spans="1:5">
      <c r="A6" s="74" t="s">
        <v>302</v>
      </c>
      <c r="B6" s="70" t="s">
        <v>148</v>
      </c>
      <c r="C6" s="70"/>
      <c r="D6" t="s">
        <v>265</v>
      </c>
      <c r="E6" t="s">
        <v>149</v>
      </c>
    </row>
    <row r="7" spans="1:5">
      <c r="A7" s="74"/>
      <c r="B7" s="70" t="s">
        <v>116</v>
      </c>
      <c r="C7" s="70" t="s">
        <v>117</v>
      </c>
      <c r="D7" t="s">
        <v>260</v>
      </c>
    </row>
    <row r="8" spans="1:5">
      <c r="A8" s="74"/>
      <c r="B8" s="70" t="s">
        <v>142</v>
      </c>
      <c r="C8" s="70" t="s">
        <v>143</v>
      </c>
    </row>
    <row r="9" spans="1:5">
      <c r="A9" s="75" t="s">
        <v>303</v>
      </c>
      <c r="B9" s="71" t="s">
        <v>118</v>
      </c>
      <c r="C9" s="71" t="s">
        <v>120</v>
      </c>
      <c r="E9" t="s">
        <v>263</v>
      </c>
    </row>
    <row r="10" spans="1:5">
      <c r="A10" s="75"/>
      <c r="B10" s="71" t="s">
        <v>119</v>
      </c>
      <c r="C10" s="71" t="s">
        <v>120</v>
      </c>
      <c r="D10" t="s">
        <v>261</v>
      </c>
    </row>
    <row r="11" spans="1:5">
      <c r="A11" s="75"/>
      <c r="B11" s="71" t="s">
        <v>144</v>
      </c>
      <c r="C11" s="71" t="s">
        <v>145</v>
      </c>
      <c r="E11" t="s">
        <v>262</v>
      </c>
    </row>
    <row r="12" spans="1:5">
      <c r="A12" s="75"/>
      <c r="B12" s="71" t="s">
        <v>122</v>
      </c>
      <c r="C12" s="71" t="s">
        <v>123</v>
      </c>
    </row>
    <row r="13" spans="1:5">
      <c r="A13" s="76" t="s">
        <v>304</v>
      </c>
      <c r="B13" s="77" t="s">
        <v>124</v>
      </c>
      <c r="C13" s="77" t="s">
        <v>125</v>
      </c>
    </row>
    <row r="14" spans="1:5">
      <c r="A14" s="76"/>
      <c r="B14" s="77" t="s">
        <v>126</v>
      </c>
      <c r="C14" s="77" t="s">
        <v>127</v>
      </c>
    </row>
    <row r="15" spans="1:5">
      <c r="A15" s="76"/>
      <c r="B15" s="77" t="s">
        <v>128</v>
      </c>
      <c r="C15" s="77" t="s">
        <v>129</v>
      </c>
      <c r="D15" t="s">
        <v>264</v>
      </c>
    </row>
    <row r="16" spans="1:5">
      <c r="A16" s="76"/>
      <c r="B16" s="77" t="s">
        <v>130</v>
      </c>
      <c r="C16" s="77" t="s">
        <v>131</v>
      </c>
    </row>
    <row r="17" spans="1:5">
      <c r="A17" s="76"/>
      <c r="B17" s="77" t="s">
        <v>132</v>
      </c>
      <c r="C17" s="77" t="s">
        <v>133</v>
      </c>
    </row>
    <row r="18" spans="1:5">
      <c r="A18" s="76"/>
      <c r="B18" s="77" t="s">
        <v>134</v>
      </c>
      <c r="C18" s="77" t="s">
        <v>135</v>
      </c>
    </row>
    <row r="19" spans="1:5">
      <c r="A19" s="78" t="s">
        <v>305</v>
      </c>
      <c r="B19" s="72" t="s">
        <v>140</v>
      </c>
      <c r="C19" s="72" t="s">
        <v>141</v>
      </c>
    </row>
    <row r="20" spans="1:5">
      <c r="A20" s="78"/>
      <c r="B20" s="72" t="s">
        <v>146</v>
      </c>
      <c r="C20" s="72" t="s">
        <v>147</v>
      </c>
    </row>
    <row r="21" spans="1:5">
      <c r="A21" s="78"/>
      <c r="B21" s="72" t="s">
        <v>113</v>
      </c>
      <c r="C21" s="72" t="s">
        <v>114</v>
      </c>
      <c r="D21" t="s">
        <v>258</v>
      </c>
    </row>
    <row r="22" spans="1:5">
      <c r="A22" s="78"/>
      <c r="B22" s="72" t="s">
        <v>150</v>
      </c>
      <c r="C22" s="72"/>
      <c r="E22" t="s">
        <v>266</v>
      </c>
    </row>
    <row r="23" spans="1:5">
      <c r="A23" s="78"/>
      <c r="B23" s="72" t="s">
        <v>151</v>
      </c>
      <c r="C23" s="72"/>
      <c r="E23" t="s">
        <v>267</v>
      </c>
    </row>
    <row r="24" spans="1:5">
      <c r="A24" s="78"/>
      <c r="B24" s="72" t="s">
        <v>152</v>
      </c>
      <c r="C24" s="72" t="s">
        <v>153</v>
      </c>
      <c r="E24" t="s">
        <v>267</v>
      </c>
    </row>
    <row r="25" spans="1:5">
      <c r="B25" s="3" t="s">
        <v>156</v>
      </c>
    </row>
  </sheetData>
  <mergeCells count="5">
    <mergeCell ref="A2:A5"/>
    <mergeCell ref="A6:A8"/>
    <mergeCell ref="A9:A12"/>
    <mergeCell ref="A13:A18"/>
    <mergeCell ref="A19:A24"/>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262A6-395C-4F2B-881B-78BF3F886DD2}">
  <dimension ref="B2:J54"/>
  <sheetViews>
    <sheetView workbookViewId="0">
      <selection activeCell="G7" sqref="G7"/>
    </sheetView>
  </sheetViews>
  <sheetFormatPr defaultRowHeight="16.5"/>
  <cols>
    <col min="2" max="2" width="24.375" style="5" customWidth="1"/>
    <col min="3" max="4" width="9" style="5"/>
    <col min="5" max="5" width="14.5" style="5" customWidth="1"/>
    <col min="6" max="6" width="6.625" style="5" customWidth="1"/>
    <col min="7" max="7" width="18.625" style="5" customWidth="1"/>
    <col min="8" max="8" width="9" style="5"/>
    <col min="9" max="9" width="31.5" customWidth="1"/>
    <col min="10" max="10" width="18.125" style="6" customWidth="1"/>
  </cols>
  <sheetData>
    <row r="2" spans="2:10">
      <c r="B2" s="7" t="s">
        <v>164</v>
      </c>
      <c r="C2" s="7" t="s">
        <v>165</v>
      </c>
      <c r="D2" s="7" t="s">
        <v>103</v>
      </c>
      <c r="E2" s="7" t="s">
        <v>166</v>
      </c>
      <c r="F2" s="7" t="s">
        <v>167</v>
      </c>
      <c r="G2" s="7" t="s">
        <v>168</v>
      </c>
      <c r="H2" s="7" t="s">
        <v>169</v>
      </c>
      <c r="I2" s="3"/>
      <c r="J2" s="8"/>
    </row>
    <row r="3" spans="2:10" ht="82.5">
      <c r="B3" s="46" t="s">
        <v>170</v>
      </c>
      <c r="C3" s="10">
        <v>109</v>
      </c>
      <c r="D3" s="11" t="s">
        <v>171</v>
      </c>
      <c r="E3" s="9" t="s">
        <v>172</v>
      </c>
      <c r="F3" s="9"/>
      <c r="G3" s="12" t="s">
        <v>173</v>
      </c>
      <c r="H3" s="10"/>
    </row>
    <row r="4" spans="2:10">
      <c r="B4" s="46"/>
      <c r="C4" s="10">
        <v>110</v>
      </c>
      <c r="D4" s="13" t="s">
        <v>174</v>
      </c>
      <c r="E4" s="9" t="s">
        <v>175</v>
      </c>
      <c r="F4" s="9"/>
      <c r="G4" s="12" t="s">
        <v>176</v>
      </c>
      <c r="H4" s="10"/>
      <c r="I4" t="s">
        <v>160</v>
      </c>
      <c r="J4" s="6" t="s">
        <v>177</v>
      </c>
    </row>
    <row r="5" spans="2:10" ht="66">
      <c r="B5" s="46"/>
      <c r="C5" s="10">
        <v>110</v>
      </c>
      <c r="D5" s="11" t="s">
        <v>178</v>
      </c>
      <c r="E5" s="9" t="s">
        <v>179</v>
      </c>
      <c r="F5" s="9"/>
      <c r="G5" s="12" t="s">
        <v>180</v>
      </c>
      <c r="H5" s="10"/>
    </row>
    <row r="6" spans="2:10" ht="33">
      <c r="B6" s="46"/>
      <c r="C6" s="10">
        <v>112</v>
      </c>
      <c r="D6" s="11" t="s">
        <v>181</v>
      </c>
      <c r="E6" s="9" t="s">
        <v>182</v>
      </c>
      <c r="F6" s="9"/>
      <c r="G6" s="12" t="s">
        <v>183</v>
      </c>
      <c r="H6" s="10"/>
    </row>
    <row r="7" spans="2:10">
      <c r="B7" s="46"/>
      <c r="C7" s="10">
        <v>111</v>
      </c>
      <c r="D7" s="13" t="s">
        <v>184</v>
      </c>
      <c r="E7" s="9" t="s">
        <v>185</v>
      </c>
      <c r="F7" s="9"/>
      <c r="G7" s="10" t="s">
        <v>186</v>
      </c>
      <c r="H7" s="10"/>
      <c r="I7" t="s">
        <v>160</v>
      </c>
      <c r="J7" s="6" t="s">
        <v>187</v>
      </c>
    </row>
    <row r="8" spans="2:10">
      <c r="B8" s="14"/>
    </row>
    <row r="9" spans="2:10">
      <c r="B9" s="7" t="s">
        <v>164</v>
      </c>
      <c r="C9" s="7" t="s">
        <v>165</v>
      </c>
      <c r="D9" s="7" t="s">
        <v>103</v>
      </c>
      <c r="E9" s="7" t="s">
        <v>166</v>
      </c>
      <c r="F9" s="7" t="s">
        <v>167</v>
      </c>
      <c r="G9" s="7" t="s">
        <v>168</v>
      </c>
      <c r="H9" s="7" t="s">
        <v>169</v>
      </c>
    </row>
    <row r="10" spans="2:10">
      <c r="B10" s="47" t="s">
        <v>188</v>
      </c>
      <c r="C10" s="50">
        <v>112</v>
      </c>
      <c r="D10" s="53" t="s">
        <v>189</v>
      </c>
      <c r="E10" s="10" t="s">
        <v>190</v>
      </c>
      <c r="F10" s="10">
        <v>250.1</v>
      </c>
      <c r="G10" s="56" t="s">
        <v>133</v>
      </c>
      <c r="H10" s="57"/>
    </row>
    <row r="11" spans="2:10">
      <c r="B11" s="48"/>
      <c r="C11" s="51"/>
      <c r="D11" s="54"/>
      <c r="E11" s="10" t="s">
        <v>191</v>
      </c>
      <c r="F11" s="10">
        <v>226</v>
      </c>
      <c r="G11" s="56" t="s">
        <v>133</v>
      </c>
      <c r="H11" s="57"/>
    </row>
    <row r="12" spans="2:10">
      <c r="B12" s="48"/>
      <c r="C12" s="51"/>
      <c r="D12" s="54"/>
      <c r="E12" s="9" t="s">
        <v>192</v>
      </c>
      <c r="F12" s="9">
        <v>246.3</v>
      </c>
      <c r="G12" s="10" t="s">
        <v>193</v>
      </c>
      <c r="H12" s="10"/>
    </row>
    <row r="13" spans="2:10">
      <c r="B13" s="48"/>
      <c r="C13" s="51"/>
      <c r="D13" s="54"/>
      <c r="E13" s="9" t="s">
        <v>194</v>
      </c>
      <c r="F13" s="9">
        <v>226</v>
      </c>
      <c r="G13" s="10" t="s">
        <v>195</v>
      </c>
      <c r="H13" s="10"/>
      <c r="J13" s="15" t="s">
        <v>196</v>
      </c>
    </row>
    <row r="14" spans="2:10" ht="49.5">
      <c r="B14" s="48"/>
      <c r="C14" s="51"/>
      <c r="D14" s="54"/>
      <c r="E14" s="9" t="s">
        <v>197</v>
      </c>
      <c r="F14" s="9">
        <v>225.8</v>
      </c>
      <c r="G14" s="16" t="s">
        <v>198</v>
      </c>
      <c r="H14" s="10"/>
      <c r="I14" t="s">
        <v>161</v>
      </c>
    </row>
    <row r="15" spans="2:10">
      <c r="B15" s="48"/>
      <c r="C15" s="52"/>
      <c r="D15" s="55"/>
      <c r="E15" s="9" t="s">
        <v>199</v>
      </c>
      <c r="F15" s="9">
        <v>251.8</v>
      </c>
      <c r="G15" s="10" t="s">
        <v>200</v>
      </c>
      <c r="H15" s="10"/>
    </row>
    <row r="16" spans="2:10">
      <c r="B16" s="48"/>
      <c r="C16" s="50">
        <v>112</v>
      </c>
      <c r="D16" s="53" t="s">
        <v>201</v>
      </c>
      <c r="E16" s="9" t="s">
        <v>202</v>
      </c>
      <c r="F16" s="9">
        <v>237.5</v>
      </c>
      <c r="G16" s="56" t="s">
        <v>133</v>
      </c>
      <c r="H16" s="57"/>
    </row>
    <row r="17" spans="2:10" ht="33">
      <c r="B17" s="48"/>
      <c r="C17" s="51"/>
      <c r="D17" s="54"/>
      <c r="E17" s="9" t="s">
        <v>203</v>
      </c>
      <c r="F17" s="9">
        <v>248</v>
      </c>
      <c r="G17" s="16" t="s">
        <v>204</v>
      </c>
      <c r="H17" s="10"/>
    </row>
    <row r="18" spans="2:10">
      <c r="B18" s="48"/>
      <c r="C18" s="52"/>
      <c r="D18" s="55"/>
      <c r="E18" s="9" t="s">
        <v>205</v>
      </c>
      <c r="F18" s="9">
        <v>237.5</v>
      </c>
      <c r="G18" s="10" t="s">
        <v>206</v>
      </c>
      <c r="H18" s="10"/>
    </row>
    <row r="19" spans="2:10">
      <c r="B19" s="48"/>
      <c r="C19" s="50">
        <v>111</v>
      </c>
      <c r="D19" s="58" t="s">
        <v>207</v>
      </c>
      <c r="E19" s="9" t="s">
        <v>208</v>
      </c>
      <c r="F19" s="9">
        <v>216.6</v>
      </c>
      <c r="G19" s="56" t="s">
        <v>133</v>
      </c>
      <c r="H19" s="57"/>
    </row>
    <row r="20" spans="2:10" ht="33">
      <c r="B20" s="48"/>
      <c r="C20" s="52"/>
      <c r="D20" s="59"/>
      <c r="E20" s="9" t="s">
        <v>209</v>
      </c>
      <c r="F20" s="9">
        <v>215.6</v>
      </c>
      <c r="G20" s="12" t="s">
        <v>210</v>
      </c>
      <c r="H20" s="10"/>
      <c r="J20" s="6" t="s">
        <v>211</v>
      </c>
    </row>
    <row r="21" spans="2:10">
      <c r="B21" s="48"/>
      <c r="C21" s="50">
        <v>113</v>
      </c>
      <c r="D21" s="53" t="s">
        <v>212</v>
      </c>
      <c r="E21" s="9" t="s">
        <v>213</v>
      </c>
      <c r="F21" s="9"/>
      <c r="G21" s="56" t="s">
        <v>133</v>
      </c>
      <c r="H21" s="57"/>
    </row>
    <row r="22" spans="2:10">
      <c r="B22" s="48"/>
      <c r="C22" s="51"/>
      <c r="D22" s="54"/>
      <c r="E22" s="9" t="s">
        <v>214</v>
      </c>
      <c r="F22" s="9"/>
      <c r="G22" s="56" t="s">
        <v>133</v>
      </c>
      <c r="H22" s="57"/>
      <c r="J22" s="6" t="s">
        <v>215</v>
      </c>
    </row>
    <row r="23" spans="2:10">
      <c r="B23" s="48"/>
      <c r="C23" s="51"/>
      <c r="D23" s="54"/>
      <c r="E23" s="9" t="s">
        <v>216</v>
      </c>
      <c r="F23" s="9"/>
      <c r="G23" s="10" t="s">
        <v>217</v>
      </c>
      <c r="H23" s="10"/>
    </row>
    <row r="24" spans="2:10">
      <c r="B24" s="48"/>
      <c r="C24" s="51"/>
      <c r="D24" s="54"/>
      <c r="E24" s="9" t="s">
        <v>218</v>
      </c>
      <c r="F24" s="9"/>
      <c r="G24" s="9" t="s">
        <v>219</v>
      </c>
      <c r="H24" s="10"/>
    </row>
    <row r="25" spans="2:10" ht="33">
      <c r="B25" s="48"/>
      <c r="C25" s="51"/>
      <c r="D25" s="54"/>
      <c r="E25" s="9" t="s">
        <v>220</v>
      </c>
      <c r="F25" s="9"/>
      <c r="G25" s="16" t="s">
        <v>221</v>
      </c>
      <c r="H25" s="10"/>
      <c r="I25" t="s">
        <v>162</v>
      </c>
    </row>
    <row r="26" spans="2:10">
      <c r="B26" s="48"/>
      <c r="C26" s="51"/>
      <c r="D26" s="54"/>
      <c r="E26" s="9" t="s">
        <v>222</v>
      </c>
      <c r="F26" s="9"/>
      <c r="G26" s="9" t="s">
        <v>223</v>
      </c>
      <c r="H26" s="10"/>
    </row>
    <row r="27" spans="2:10">
      <c r="B27" s="48"/>
      <c r="C27" s="51"/>
      <c r="D27" s="54"/>
      <c r="E27" s="9" t="s">
        <v>224</v>
      </c>
      <c r="F27" s="9"/>
      <c r="G27" s="10" t="s">
        <v>225</v>
      </c>
      <c r="H27" s="10"/>
      <c r="J27" s="6" t="s">
        <v>226</v>
      </c>
    </row>
    <row r="28" spans="2:10">
      <c r="B28" s="48"/>
      <c r="C28" s="52"/>
      <c r="D28" s="55"/>
      <c r="E28" s="9" t="s">
        <v>227</v>
      </c>
      <c r="F28" s="9"/>
      <c r="G28" s="10" t="s">
        <v>228</v>
      </c>
      <c r="H28" s="10"/>
      <c r="J28" s="6" t="s">
        <v>229</v>
      </c>
    </row>
    <row r="29" spans="2:10">
      <c r="B29" s="48"/>
      <c r="C29" s="50">
        <v>114</v>
      </c>
      <c r="D29" s="53" t="s">
        <v>230</v>
      </c>
      <c r="E29" s="9" t="s">
        <v>231</v>
      </c>
      <c r="F29" s="9"/>
      <c r="G29" s="56" t="s">
        <v>133</v>
      </c>
      <c r="H29" s="57"/>
    </row>
    <row r="30" spans="2:10">
      <c r="B30" s="48"/>
      <c r="C30" s="51"/>
      <c r="D30" s="54"/>
      <c r="E30" s="9" t="s">
        <v>232</v>
      </c>
      <c r="F30" s="9"/>
      <c r="G30" s="60" t="s">
        <v>233</v>
      </c>
      <c r="H30" s="61"/>
      <c r="I30" t="s">
        <v>163</v>
      </c>
    </row>
    <row r="31" spans="2:10">
      <c r="B31" s="48"/>
      <c r="C31" s="51"/>
      <c r="D31" s="54"/>
      <c r="E31" s="9" t="s">
        <v>234</v>
      </c>
      <c r="F31" s="9"/>
      <c r="G31" s="62"/>
      <c r="H31" s="63"/>
    </row>
    <row r="32" spans="2:10">
      <c r="B32" s="48"/>
      <c r="C32" s="51"/>
      <c r="D32" s="54"/>
      <c r="E32" s="9" t="s">
        <v>235</v>
      </c>
      <c r="F32" s="9"/>
      <c r="G32" s="62"/>
      <c r="H32" s="63"/>
    </row>
    <row r="33" spans="2:8">
      <c r="B33" s="48"/>
      <c r="C33" s="52"/>
      <c r="D33" s="55"/>
      <c r="E33" s="9" t="s">
        <v>236</v>
      </c>
      <c r="F33" s="9"/>
      <c r="G33" s="64"/>
      <c r="H33" s="65"/>
    </row>
    <row r="34" spans="2:8">
      <c r="B34" s="48"/>
      <c r="C34" s="50">
        <v>114</v>
      </c>
      <c r="D34" s="53" t="s">
        <v>237</v>
      </c>
      <c r="E34" s="9" t="s">
        <v>238</v>
      </c>
      <c r="F34" s="9"/>
      <c r="G34" s="56" t="s">
        <v>133</v>
      </c>
      <c r="H34" s="57"/>
    </row>
    <row r="35" spans="2:8">
      <c r="B35" s="48"/>
      <c r="C35" s="51"/>
      <c r="D35" s="54"/>
      <c r="E35" s="9" t="s">
        <v>239</v>
      </c>
      <c r="F35" s="9"/>
      <c r="G35" s="60" t="s">
        <v>233</v>
      </c>
      <c r="H35" s="61"/>
    </row>
    <row r="36" spans="2:8">
      <c r="B36" s="48"/>
      <c r="C36" s="51"/>
      <c r="D36" s="54"/>
      <c r="E36" s="9" t="s">
        <v>240</v>
      </c>
      <c r="F36" s="9"/>
      <c r="G36" s="62"/>
      <c r="H36" s="63"/>
    </row>
    <row r="37" spans="2:8">
      <c r="B37" s="48"/>
      <c r="C37" s="51"/>
      <c r="D37" s="54"/>
      <c r="E37" s="9" t="s">
        <v>241</v>
      </c>
      <c r="F37" s="9"/>
      <c r="G37" s="62"/>
      <c r="H37" s="63"/>
    </row>
    <row r="38" spans="2:8">
      <c r="B38" s="48"/>
      <c r="C38" s="51"/>
      <c r="D38" s="54"/>
      <c r="E38" s="9" t="s">
        <v>242</v>
      </c>
      <c r="F38" s="9"/>
      <c r="G38" s="62"/>
      <c r="H38" s="63"/>
    </row>
    <row r="39" spans="2:8">
      <c r="B39" s="48"/>
      <c r="C39" s="51"/>
      <c r="D39" s="54"/>
      <c r="E39" s="9" t="s">
        <v>243</v>
      </c>
      <c r="F39" s="9"/>
      <c r="G39" s="62"/>
      <c r="H39" s="63"/>
    </row>
    <row r="40" spans="2:8">
      <c r="B40" s="49"/>
      <c r="C40" s="52"/>
      <c r="D40" s="55"/>
      <c r="E40" s="9" t="s">
        <v>244</v>
      </c>
      <c r="F40" s="9"/>
      <c r="G40" s="64"/>
      <c r="H40" s="65"/>
    </row>
    <row r="41" spans="2:8">
      <c r="B41" s="17"/>
    </row>
    <row r="42" spans="2:8">
      <c r="B42" s="7" t="s">
        <v>164</v>
      </c>
      <c r="C42" s="7" t="s">
        <v>165</v>
      </c>
      <c r="D42" s="7" t="s">
        <v>103</v>
      </c>
      <c r="E42" s="7" t="s">
        <v>166</v>
      </c>
      <c r="F42" s="7"/>
      <c r="G42" s="7" t="s">
        <v>168</v>
      </c>
      <c r="H42" s="7" t="s">
        <v>169</v>
      </c>
    </row>
    <row r="43" spans="2:8" ht="16.5" customHeight="1">
      <c r="B43" s="46" t="s">
        <v>245</v>
      </c>
      <c r="C43" s="50">
        <v>112</v>
      </c>
      <c r="D43" s="66" t="s">
        <v>246</v>
      </c>
      <c r="E43" s="9" t="s">
        <v>247</v>
      </c>
      <c r="F43" s="9"/>
      <c r="G43" s="9" t="s">
        <v>248</v>
      </c>
      <c r="H43" s="10"/>
    </row>
    <row r="44" spans="2:8">
      <c r="B44" s="46"/>
      <c r="C44" s="52"/>
      <c r="D44" s="67"/>
      <c r="E44" s="9" t="s">
        <v>249</v>
      </c>
      <c r="F44" s="9"/>
      <c r="G44" s="9" t="s">
        <v>250</v>
      </c>
      <c r="H44" s="10"/>
    </row>
    <row r="45" spans="2:8">
      <c r="B45" s="17"/>
    </row>
    <row r="46" spans="2:8">
      <c r="B46" s="7" t="s">
        <v>164</v>
      </c>
      <c r="C46" s="7" t="s">
        <v>165</v>
      </c>
      <c r="D46" s="7" t="s">
        <v>103</v>
      </c>
      <c r="E46" s="7" t="s">
        <v>166</v>
      </c>
      <c r="F46" s="7"/>
      <c r="G46" s="7" t="s">
        <v>168</v>
      </c>
      <c r="H46" s="7" t="s">
        <v>169</v>
      </c>
    </row>
    <row r="47" spans="2:8">
      <c r="B47" s="46" t="s">
        <v>251</v>
      </c>
      <c r="C47" s="50">
        <v>114</v>
      </c>
      <c r="D47" s="66" t="s">
        <v>252</v>
      </c>
      <c r="E47" s="10" t="s">
        <v>253</v>
      </c>
      <c r="F47" s="10"/>
      <c r="G47" s="9" t="s">
        <v>254</v>
      </c>
      <c r="H47" s="10"/>
    </row>
    <row r="48" spans="2:8">
      <c r="B48" s="46"/>
      <c r="C48" s="51"/>
      <c r="D48" s="68"/>
      <c r="E48" s="10" t="s">
        <v>255</v>
      </c>
      <c r="F48" s="10"/>
      <c r="G48" s="9" t="s">
        <v>256</v>
      </c>
      <c r="H48" s="10"/>
    </row>
    <row r="49" spans="2:8">
      <c r="B49" s="46"/>
      <c r="C49" s="52"/>
      <c r="D49" s="67"/>
      <c r="E49" s="10" t="s">
        <v>257</v>
      </c>
      <c r="F49" s="10"/>
      <c r="G49" s="10" t="s">
        <v>133</v>
      </c>
      <c r="H49" s="10"/>
    </row>
    <row r="50" spans="2:8">
      <c r="B50" s="17"/>
    </row>
    <row r="51" spans="2:8">
      <c r="B51" s="17"/>
    </row>
    <row r="52" spans="2:8">
      <c r="B52" s="17"/>
    </row>
    <row r="53" spans="2:8">
      <c r="B53" s="17"/>
    </row>
    <row r="54" spans="2:8">
      <c r="B54" s="17"/>
    </row>
  </sheetData>
  <mergeCells count="30">
    <mergeCell ref="B43:B44"/>
    <mergeCell ref="C43:C44"/>
    <mergeCell ref="D43:D44"/>
    <mergeCell ref="B47:B49"/>
    <mergeCell ref="C47:C49"/>
    <mergeCell ref="D47:D49"/>
    <mergeCell ref="C29:C33"/>
    <mergeCell ref="D29:D33"/>
    <mergeCell ref="G29:H29"/>
    <mergeCell ref="G30:H33"/>
    <mergeCell ref="C34:C40"/>
    <mergeCell ref="D34:D40"/>
    <mergeCell ref="G34:H34"/>
    <mergeCell ref="G35:H40"/>
    <mergeCell ref="B3:B7"/>
    <mergeCell ref="B10:B40"/>
    <mergeCell ref="C10:C15"/>
    <mergeCell ref="D10:D15"/>
    <mergeCell ref="G10:H10"/>
    <mergeCell ref="G11:H11"/>
    <mergeCell ref="C16:C18"/>
    <mergeCell ref="D16:D18"/>
    <mergeCell ref="G16:H16"/>
    <mergeCell ref="C19:C20"/>
    <mergeCell ref="D19:D20"/>
    <mergeCell ref="G19:H19"/>
    <mergeCell ref="C21:C28"/>
    <mergeCell ref="D21:D28"/>
    <mergeCell ref="G21:H21"/>
    <mergeCell ref="G22:H22"/>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D5955-1882-400F-A51D-B0D7429C9C4A}">
  <dimension ref="A1"/>
  <sheetViews>
    <sheetView workbookViewId="0"/>
  </sheetViews>
  <sheetFormatPr defaultRowHeight="16.5"/>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vt:i4>
      </vt:variant>
      <vt:variant>
        <vt:lpstr>具名範圍</vt:lpstr>
      </vt:variant>
      <vt:variant>
        <vt:i4>1</vt:i4>
      </vt:variant>
    </vt:vector>
  </HeadingPairs>
  <TitlesOfParts>
    <vt:vector size="5" baseType="lpstr">
      <vt:lpstr>總表</vt:lpstr>
      <vt:lpstr>缺失樣態</vt:lpstr>
      <vt:lpstr>接管名冊及電話</vt:lpstr>
      <vt:lpstr>設施照片</vt:lpstr>
      <vt:lpstr>總表!Print_Area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政憲 洪</dc:creator>
  <cp:lastModifiedBy>USER</cp:lastModifiedBy>
  <cp:lastPrinted>2026-04-15T08:58:55Z</cp:lastPrinted>
  <dcterms:created xsi:type="dcterms:W3CDTF">2026-04-15T08:43:30Z</dcterms:created>
  <dcterms:modified xsi:type="dcterms:W3CDTF">2026-05-21T02:57:46Z</dcterms:modified>
</cp:coreProperties>
</file>