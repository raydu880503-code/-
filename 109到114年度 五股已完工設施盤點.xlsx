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Z:\03-農業發展與水資源保育\01-執行中專案\09-七星管理處_五股坑溪擴大灌溉服務推動暨觀音坑溪補充設計推動計畫\10-坑溝取水設施盤點資料\"/>
    </mc:Choice>
  </mc:AlternateContent>
  <xr:revisionPtr revIDLastSave="0" documentId="13_ncr:1_{7156D93A-3ADA-4459-A209-0733CC8E1693}" xr6:coauthVersionLast="47" xr6:coauthVersionMax="47" xr10:uidLastSave="{00000000-0000-0000-0000-000000000000}"/>
  <bookViews>
    <workbookView xWindow="-120" yWindow="-120" windowWidth="29040" windowHeight="15720" xr2:uid="{A2862070-784E-45A9-AD87-022E2482076D}"/>
  </bookViews>
  <sheets>
    <sheet name="總表" sheetId="1" r:id="rId1"/>
    <sheet name="缺失樣態" sheetId="2" r:id="rId2"/>
    <sheet name="接管名冊及電話" sheetId="3" r:id="rId3"/>
    <sheet name="五股農民民單" sheetId="5" r:id="rId4"/>
    <sheet name="設施尺寸" sheetId="6" r:id="rId5"/>
  </sheets>
  <definedNames>
    <definedName name="_xlnm.Print_Area" localSheetId="0">總表!$A$1:$X$56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6" l="1"/>
  <c r="I49" i="6" s="1"/>
  <c r="J48" i="6"/>
  <c r="I48" i="6"/>
  <c r="C47" i="6"/>
  <c r="I47" i="6" s="1"/>
  <c r="J46" i="6"/>
  <c r="I46" i="6"/>
  <c r="C45" i="6"/>
  <c r="I45" i="6" s="1"/>
  <c r="J44" i="6"/>
  <c r="I44" i="6"/>
  <c r="J43" i="6"/>
  <c r="J45" i="6" s="1"/>
  <c r="J47" i="6" s="1"/>
  <c r="J49" i="6" s="1"/>
  <c r="C43" i="6"/>
  <c r="I43" i="6" s="1"/>
  <c r="I42" i="6"/>
  <c r="C41" i="6"/>
  <c r="I41" i="6" s="1"/>
  <c r="I40" i="6"/>
  <c r="I38" i="6"/>
  <c r="C38" i="6"/>
  <c r="J37" i="6"/>
  <c r="C37" i="6"/>
  <c r="I37" i="6" s="1"/>
  <c r="C36" i="6"/>
  <c r="I36" i="6" s="1"/>
  <c r="J35" i="6"/>
  <c r="C35" i="6"/>
  <c r="I35" i="6" s="1"/>
  <c r="J34" i="6"/>
  <c r="J36" i="6" s="1"/>
  <c r="J38" i="6" s="1"/>
  <c r="C34" i="6"/>
  <c r="I34" i="6" s="1"/>
  <c r="J33" i="6"/>
  <c r="C33" i="6"/>
  <c r="I33" i="6" s="1"/>
  <c r="C32" i="6"/>
  <c r="I32" i="6" s="1"/>
  <c r="I31" i="6"/>
  <c r="C28" i="6"/>
  <c r="I28" i="6" s="1"/>
  <c r="C27" i="6"/>
  <c r="I27" i="6" s="1"/>
  <c r="C25" i="6"/>
  <c r="I25" i="6" s="1"/>
  <c r="C24" i="6"/>
  <c r="I24" i="6" s="1"/>
  <c r="C23" i="6"/>
  <c r="I23" i="6" s="1"/>
  <c r="J22" i="6"/>
  <c r="J23" i="6" s="1"/>
  <c r="J24" i="6" s="1"/>
  <c r="J25" i="6" s="1"/>
  <c r="J27" i="6" s="1"/>
  <c r="J28" i="6" s="1"/>
  <c r="C22" i="6"/>
  <c r="I22" i="6" s="1"/>
  <c r="I21" i="6"/>
  <c r="C20" i="6"/>
  <c r="I20" i="6" s="1"/>
  <c r="I19" i="6"/>
  <c r="I18" i="6"/>
  <c r="F11" i="6"/>
  <c r="I11" i="6" s="1"/>
  <c r="I10" i="6"/>
  <c r="I9" i="6"/>
  <c r="J6" i="6"/>
  <c r="C6" i="6"/>
  <c r="I6" i="6" s="1"/>
  <c r="J5" i="6"/>
  <c r="C5" i="6"/>
  <c r="I5" i="6" s="1"/>
  <c r="J4" i="6"/>
  <c r="C4" i="6"/>
  <c r="I4" i="6" s="1"/>
  <c r="C3" i="6"/>
  <c r="I3" i="6" s="1"/>
  <c r="I2" i="6"/>
  <c r="L51" i="1"/>
  <c r="L52" i="1"/>
  <c r="L7" i="1"/>
  <c r="L10" i="1"/>
  <c r="L13" i="1"/>
  <c r="L16" i="1"/>
  <c r="L20" i="1"/>
  <c r="L21" i="1"/>
  <c r="L22" i="1"/>
  <c r="L25" i="1"/>
  <c r="L26" i="1"/>
  <c r="L29" i="1"/>
  <c r="L32" i="1"/>
  <c r="L33" i="1"/>
  <c r="L34" i="1"/>
  <c r="L35" i="1"/>
  <c r="L36" i="1"/>
  <c r="L37" i="1"/>
  <c r="L38" i="1"/>
  <c r="L41" i="1"/>
  <c r="L42" i="1"/>
  <c r="L43" i="1"/>
  <c r="L44" i="1"/>
  <c r="L47" i="1"/>
  <c r="L48" i="1"/>
  <c r="L49" i="1"/>
  <c r="L50" i="1"/>
  <c r="L4" i="1"/>
</calcChain>
</file>

<file path=xl/sharedStrings.xml><?xml version="1.0" encoding="utf-8"?>
<sst xmlns="http://schemas.openxmlformats.org/spreadsheetml/2006/main" count="932" uniqueCount="523">
  <si>
    <t xml:space="preserve"> </t>
  </si>
  <si>
    <t>3+1</t>
  </si>
  <si>
    <t>1+1</t>
  </si>
  <si>
    <t>2+1</t>
  </si>
  <si>
    <t>4+2</t>
  </si>
  <si>
    <t>2+2</t>
  </si>
  <si>
    <t>6+2</t>
  </si>
  <si>
    <t>6+2+2</t>
  </si>
  <si>
    <r>
      <rPr>
        <sz val="20"/>
        <color theme="1"/>
        <rFont val="標楷體"/>
        <family val="4"/>
        <charset val="136"/>
      </rPr>
      <t>集水區</t>
    </r>
  </si>
  <si>
    <r>
      <rPr>
        <sz val="20"/>
        <color theme="1"/>
        <rFont val="標楷體"/>
        <family val="4"/>
        <charset val="136"/>
      </rPr>
      <t>高程</t>
    </r>
    <phoneticPr fontId="1" type="noConversion"/>
  </si>
  <si>
    <r>
      <rPr>
        <sz val="20"/>
        <color theme="1"/>
        <rFont val="標楷體"/>
        <family val="4"/>
        <charset val="136"/>
      </rPr>
      <t>推動年</t>
    </r>
  </si>
  <si>
    <r>
      <rPr>
        <sz val="20"/>
        <color theme="1"/>
        <rFont val="標楷體"/>
        <family val="4"/>
        <charset val="136"/>
      </rPr>
      <t>中直坑溪</t>
    </r>
  </si>
  <si>
    <r>
      <t>109</t>
    </r>
    <r>
      <rPr>
        <sz val="20"/>
        <color theme="1"/>
        <rFont val="標楷體"/>
        <family val="4"/>
        <charset val="136"/>
      </rPr>
      <t>年</t>
    </r>
  </si>
  <si>
    <r>
      <t>PP</t>
    </r>
    <r>
      <rPr>
        <sz val="20"/>
        <color theme="1"/>
        <rFont val="標楷體"/>
        <family val="4"/>
        <charset val="136"/>
      </rPr>
      <t>材質蓋板、不可掀</t>
    </r>
  </si>
  <si>
    <r>
      <t>2</t>
    </r>
    <r>
      <rPr>
        <sz val="20"/>
        <color theme="1"/>
        <rFont val="標楷體"/>
        <family val="4"/>
        <charset val="136"/>
      </rPr>
      <t>座白鐵分水箱</t>
    </r>
  </si>
  <si>
    <r>
      <t>6(</t>
    </r>
    <r>
      <rPr>
        <sz val="20"/>
        <color theme="1"/>
        <rFont val="標楷體"/>
        <family val="4"/>
        <charset val="136"/>
      </rPr>
      <t>可接管</t>
    </r>
    <r>
      <rPr>
        <sz val="20"/>
        <color theme="1"/>
        <rFont val="Times New Roman"/>
        <family val="1"/>
      </rPr>
      <t>)+2(</t>
    </r>
    <r>
      <rPr>
        <sz val="20"/>
        <color theme="1"/>
        <rFont val="標楷體"/>
        <family val="4"/>
        <charset val="136"/>
      </rPr>
      <t>預留</t>
    </r>
    <r>
      <rPr>
        <sz val="20"/>
        <color theme="1"/>
        <rFont val="Times New Roman"/>
        <family val="1"/>
      </rPr>
      <t>)+2(</t>
    </r>
    <r>
      <rPr>
        <sz val="20"/>
        <color theme="1"/>
        <rFont val="標楷體"/>
        <family val="4"/>
        <charset val="136"/>
      </rPr>
      <t>電磁閥</t>
    </r>
    <r>
      <rPr>
        <sz val="20"/>
        <color theme="1"/>
        <rFont val="Times New Roman"/>
        <family val="1"/>
      </rPr>
      <t>)</t>
    </r>
  </si>
  <si>
    <r>
      <rPr>
        <sz val="20"/>
        <color theme="1"/>
        <rFont val="標楷體"/>
        <family val="4"/>
        <charset val="136"/>
      </rPr>
      <t>中</t>
    </r>
    <r>
      <rPr>
        <sz val="20"/>
        <color theme="1"/>
        <rFont val="Times New Roman"/>
        <family val="1"/>
      </rPr>
      <t>W2</t>
    </r>
  </si>
  <si>
    <r>
      <t>110</t>
    </r>
    <r>
      <rPr>
        <sz val="20"/>
        <color theme="1"/>
        <rFont val="標楷體"/>
        <family val="4"/>
        <charset val="136"/>
      </rPr>
      <t>年</t>
    </r>
  </si>
  <si>
    <r>
      <rPr>
        <sz val="20"/>
        <color theme="1"/>
        <rFont val="標楷體"/>
        <family val="4"/>
        <charset val="136"/>
      </rPr>
      <t>中</t>
    </r>
    <r>
      <rPr>
        <sz val="20"/>
        <color theme="1"/>
        <rFont val="Times New Roman"/>
        <family val="1"/>
      </rPr>
      <t>B2</t>
    </r>
  </si>
  <si>
    <r>
      <t>1</t>
    </r>
    <r>
      <rPr>
        <sz val="20"/>
        <color theme="1"/>
        <rFont val="標楷體"/>
        <family val="4"/>
        <charset val="136"/>
      </rPr>
      <t>座</t>
    </r>
    <r>
      <rPr>
        <sz val="20"/>
        <color theme="1"/>
        <rFont val="Times New Roman"/>
        <family val="1"/>
      </rPr>
      <t>3</t>
    </r>
    <r>
      <rPr>
        <sz val="20"/>
        <color theme="1"/>
        <rFont val="標楷體"/>
        <family val="4"/>
        <charset val="136"/>
      </rPr>
      <t>噸臥式白鐵蓄水塔</t>
    </r>
  </si>
  <si>
    <r>
      <rPr>
        <sz val="20"/>
        <color theme="1"/>
        <rFont val="標楷體"/>
        <family val="4"/>
        <charset val="136"/>
      </rPr>
      <t>中</t>
    </r>
    <r>
      <rPr>
        <sz val="20"/>
        <color theme="1"/>
        <rFont val="Times New Roman"/>
        <family val="1"/>
      </rPr>
      <t>2-1</t>
    </r>
  </si>
  <si>
    <r>
      <t>6(</t>
    </r>
    <r>
      <rPr>
        <sz val="20"/>
        <color theme="1"/>
        <rFont val="標楷體"/>
        <family val="4"/>
        <charset val="136"/>
      </rPr>
      <t>可接管</t>
    </r>
    <r>
      <rPr>
        <sz val="20"/>
        <color theme="1"/>
        <rFont val="Times New Roman"/>
        <family val="1"/>
      </rPr>
      <t>)+2(</t>
    </r>
    <r>
      <rPr>
        <sz val="20"/>
        <color theme="1"/>
        <rFont val="標楷體"/>
        <family val="4"/>
        <charset val="136"/>
      </rPr>
      <t>預留</t>
    </r>
    <r>
      <rPr>
        <sz val="20"/>
        <color theme="1"/>
        <rFont val="Times New Roman"/>
        <family val="1"/>
      </rPr>
      <t>)</t>
    </r>
  </si>
  <si>
    <r>
      <rPr>
        <sz val="20"/>
        <color theme="1"/>
        <rFont val="標楷體"/>
        <family val="4"/>
        <charset val="136"/>
      </rPr>
      <t>中</t>
    </r>
    <r>
      <rPr>
        <sz val="20"/>
        <color theme="1"/>
        <rFont val="Times New Roman"/>
        <family val="1"/>
      </rPr>
      <t>W3</t>
    </r>
  </si>
  <si>
    <r>
      <t>PP</t>
    </r>
    <r>
      <rPr>
        <sz val="20"/>
        <color theme="1"/>
        <rFont val="標楷體"/>
        <family val="4"/>
        <charset val="136"/>
      </rPr>
      <t>材質蓋板、可掀蓋、可先部分為白鐵</t>
    </r>
  </si>
  <si>
    <r>
      <rPr>
        <sz val="20"/>
        <color theme="1"/>
        <rFont val="標楷體"/>
        <family val="4"/>
        <charset val="136"/>
      </rPr>
      <t>中</t>
    </r>
    <r>
      <rPr>
        <sz val="20"/>
        <color theme="1"/>
        <rFont val="Times New Roman"/>
        <family val="1"/>
      </rPr>
      <t>B3</t>
    </r>
  </si>
  <si>
    <r>
      <rPr>
        <sz val="20"/>
        <color theme="1"/>
        <rFont val="標楷體"/>
        <family val="4"/>
        <charset val="136"/>
      </rPr>
      <t>中</t>
    </r>
    <r>
      <rPr>
        <sz val="20"/>
        <color theme="1"/>
        <rFont val="Times New Roman"/>
        <family val="1"/>
      </rPr>
      <t>3-1</t>
    </r>
  </si>
  <si>
    <r>
      <rPr>
        <sz val="20"/>
        <color theme="1"/>
        <rFont val="標楷體"/>
        <family val="4"/>
        <charset val="136"/>
      </rPr>
      <t>中</t>
    </r>
    <r>
      <rPr>
        <sz val="20"/>
        <color theme="1"/>
        <rFont val="Times New Roman"/>
        <family val="1"/>
      </rPr>
      <t>W4</t>
    </r>
  </si>
  <si>
    <r>
      <t>111</t>
    </r>
    <r>
      <rPr>
        <sz val="20"/>
        <color theme="1"/>
        <rFont val="標楷體"/>
        <family val="4"/>
        <charset val="136"/>
      </rPr>
      <t>年</t>
    </r>
  </si>
  <si>
    <r>
      <rPr>
        <sz val="20"/>
        <color theme="1"/>
        <rFont val="標楷體"/>
        <family val="4"/>
        <charset val="136"/>
      </rPr>
      <t>白鐵蓋板、不可掀</t>
    </r>
  </si>
  <si>
    <r>
      <rPr>
        <sz val="20"/>
        <color theme="1"/>
        <rFont val="標楷體"/>
        <family val="4"/>
        <charset val="136"/>
      </rPr>
      <t>中</t>
    </r>
    <r>
      <rPr>
        <sz val="20"/>
        <color theme="1"/>
        <rFont val="Times New Roman"/>
        <family val="1"/>
      </rPr>
      <t>B4</t>
    </r>
  </si>
  <si>
    <r>
      <rPr>
        <sz val="20"/>
        <color theme="1"/>
        <rFont val="標楷體"/>
        <family val="4"/>
        <charset val="136"/>
      </rPr>
      <t>中</t>
    </r>
    <r>
      <rPr>
        <sz val="20"/>
        <color theme="1"/>
        <rFont val="Times New Roman"/>
        <family val="1"/>
      </rPr>
      <t>4-1</t>
    </r>
  </si>
  <si>
    <r>
      <t>4(</t>
    </r>
    <r>
      <rPr>
        <sz val="20"/>
        <color theme="1"/>
        <rFont val="標楷體"/>
        <family val="4"/>
        <charset val="136"/>
      </rPr>
      <t>可接管</t>
    </r>
    <r>
      <rPr>
        <sz val="20"/>
        <color theme="1"/>
        <rFont val="Times New Roman"/>
        <family val="1"/>
      </rPr>
      <t>)+2(</t>
    </r>
    <r>
      <rPr>
        <sz val="20"/>
        <color theme="1"/>
        <rFont val="標楷體"/>
        <family val="4"/>
        <charset val="136"/>
      </rPr>
      <t>預留</t>
    </r>
    <r>
      <rPr>
        <sz val="20"/>
        <color theme="1"/>
        <rFont val="Times New Roman"/>
        <family val="1"/>
      </rPr>
      <t>)</t>
    </r>
  </si>
  <si>
    <r>
      <rPr>
        <sz val="20"/>
        <color theme="1"/>
        <rFont val="標楷體"/>
        <family val="4"/>
        <charset val="136"/>
      </rPr>
      <t>中</t>
    </r>
    <r>
      <rPr>
        <sz val="20"/>
        <color theme="1"/>
        <rFont val="Times New Roman"/>
        <family val="1"/>
      </rPr>
      <t>W5</t>
    </r>
  </si>
  <si>
    <r>
      <rPr>
        <sz val="20"/>
        <color theme="1"/>
        <rFont val="標楷體"/>
        <family val="4"/>
        <charset val="136"/>
      </rPr>
      <t>中</t>
    </r>
    <r>
      <rPr>
        <sz val="20"/>
        <color theme="1"/>
        <rFont val="Times New Roman"/>
        <family val="1"/>
      </rPr>
      <t>B5</t>
    </r>
  </si>
  <si>
    <r>
      <t>1</t>
    </r>
    <r>
      <rPr>
        <sz val="20"/>
        <color theme="1"/>
        <rFont val="標楷體"/>
        <family val="4"/>
        <charset val="136"/>
      </rPr>
      <t>座白鐵分水箱</t>
    </r>
    <r>
      <rPr>
        <sz val="20"/>
        <color theme="1"/>
        <rFont val="Times New Roman"/>
        <family val="1"/>
      </rPr>
      <t>+</t>
    </r>
    <r>
      <rPr>
        <sz val="20"/>
        <color theme="1"/>
        <rFont val="標楷體"/>
        <family val="4"/>
        <charset val="136"/>
      </rPr>
      <t>跨河道鋼構橋</t>
    </r>
  </si>
  <si>
    <r>
      <rPr>
        <sz val="20"/>
        <color theme="1"/>
        <rFont val="標楷體"/>
        <family val="4"/>
        <charset val="136"/>
      </rPr>
      <t>中</t>
    </r>
    <r>
      <rPr>
        <sz val="20"/>
        <color theme="1"/>
        <rFont val="Times New Roman"/>
        <family val="1"/>
      </rPr>
      <t>5-1</t>
    </r>
  </si>
  <si>
    <r>
      <rPr>
        <sz val="20"/>
        <color theme="1"/>
        <rFont val="標楷體"/>
        <family val="4"/>
        <charset val="136"/>
      </rPr>
      <t>崩山坑溪</t>
    </r>
  </si>
  <si>
    <r>
      <rPr>
        <sz val="20"/>
        <color theme="1"/>
        <rFont val="標楷體"/>
        <family val="4"/>
        <charset val="136"/>
      </rPr>
      <t>崩</t>
    </r>
    <r>
      <rPr>
        <sz val="20"/>
        <color theme="1"/>
        <rFont val="Times New Roman"/>
        <family val="1"/>
      </rPr>
      <t>W1</t>
    </r>
  </si>
  <si>
    <r>
      <rPr>
        <sz val="20"/>
        <color theme="1"/>
        <rFont val="標楷體"/>
        <family val="4"/>
        <charset val="136"/>
      </rPr>
      <t>白鐵蓋板、可掀蓋、可先部分為</t>
    </r>
    <r>
      <rPr>
        <sz val="20"/>
        <color theme="1"/>
        <rFont val="Times New Roman"/>
        <family val="1"/>
      </rPr>
      <t>114</t>
    </r>
    <r>
      <rPr>
        <sz val="20"/>
        <color theme="1"/>
        <rFont val="標楷體"/>
        <family val="4"/>
        <charset val="136"/>
      </rPr>
      <t>更</t>
    </r>
  </si>
  <si>
    <r>
      <rPr>
        <sz val="20"/>
        <color theme="1"/>
        <rFont val="標楷體"/>
        <family val="4"/>
        <charset val="136"/>
      </rPr>
      <t>崩</t>
    </r>
    <r>
      <rPr>
        <sz val="20"/>
        <color theme="1"/>
        <rFont val="Times New Roman"/>
        <family val="1"/>
      </rPr>
      <t>B1-1</t>
    </r>
  </si>
  <si>
    <r>
      <t>1</t>
    </r>
    <r>
      <rPr>
        <sz val="20"/>
        <color theme="1"/>
        <rFont val="標楷體"/>
        <family val="4"/>
        <charset val="136"/>
      </rPr>
      <t>座白鐵分水箱</t>
    </r>
  </si>
  <si>
    <r>
      <rPr>
        <sz val="20"/>
        <color theme="1"/>
        <rFont val="標楷體"/>
        <family val="4"/>
        <charset val="136"/>
      </rPr>
      <t>崩</t>
    </r>
    <r>
      <rPr>
        <sz val="20"/>
        <color theme="1"/>
        <rFont val="Times New Roman"/>
        <family val="1"/>
      </rPr>
      <t>B1-2</t>
    </r>
  </si>
  <si>
    <r>
      <rPr>
        <sz val="20"/>
        <color theme="1"/>
        <rFont val="標楷體"/>
        <family val="4"/>
        <charset val="136"/>
      </rPr>
      <t>崩</t>
    </r>
    <r>
      <rPr>
        <sz val="20"/>
        <color theme="1"/>
        <rFont val="Times New Roman"/>
        <family val="1"/>
      </rPr>
      <t>1-1</t>
    </r>
  </si>
  <si>
    <r>
      <t>113</t>
    </r>
    <r>
      <rPr>
        <sz val="20"/>
        <color theme="1"/>
        <rFont val="標楷體"/>
        <family val="4"/>
        <charset val="136"/>
      </rPr>
      <t>年</t>
    </r>
  </si>
  <si>
    <r>
      <rPr>
        <sz val="20"/>
        <color theme="1"/>
        <rFont val="標楷體"/>
        <family val="4"/>
        <charset val="136"/>
      </rPr>
      <t>吳明月用</t>
    </r>
  </si>
  <si>
    <r>
      <rPr>
        <sz val="20"/>
        <color theme="1"/>
        <rFont val="標楷體"/>
        <family val="4"/>
        <charset val="136"/>
      </rPr>
      <t>崩</t>
    </r>
    <r>
      <rPr>
        <sz val="20"/>
        <color theme="1"/>
        <rFont val="Times New Roman"/>
        <family val="1"/>
      </rPr>
      <t>1-2</t>
    </r>
  </si>
  <si>
    <r>
      <t>3(</t>
    </r>
    <r>
      <rPr>
        <sz val="20"/>
        <color theme="1"/>
        <rFont val="標楷體"/>
        <family val="4"/>
        <charset val="136"/>
      </rPr>
      <t>可接管</t>
    </r>
    <r>
      <rPr>
        <sz val="20"/>
        <color theme="1"/>
        <rFont val="Times New Roman"/>
        <family val="1"/>
      </rPr>
      <t>)+1(</t>
    </r>
    <r>
      <rPr>
        <sz val="20"/>
        <color theme="1"/>
        <rFont val="標楷體"/>
        <family val="4"/>
        <charset val="136"/>
      </rPr>
      <t>預留</t>
    </r>
    <r>
      <rPr>
        <sz val="20"/>
        <color theme="1"/>
        <rFont val="Times New Roman"/>
        <family val="1"/>
      </rPr>
      <t>)</t>
    </r>
  </si>
  <si>
    <r>
      <rPr>
        <sz val="20"/>
        <color theme="1"/>
        <rFont val="標楷體"/>
        <family val="4"/>
        <charset val="136"/>
      </rPr>
      <t>崩</t>
    </r>
    <r>
      <rPr>
        <sz val="20"/>
        <color theme="1"/>
        <rFont val="Times New Roman"/>
        <family val="1"/>
      </rPr>
      <t>1-3</t>
    </r>
  </si>
  <si>
    <r>
      <t>1(</t>
    </r>
    <r>
      <rPr>
        <sz val="20"/>
        <color theme="1"/>
        <rFont val="標楷體"/>
        <family val="4"/>
        <charset val="136"/>
      </rPr>
      <t>可接管</t>
    </r>
    <r>
      <rPr>
        <sz val="20"/>
        <color theme="1"/>
        <rFont val="Times New Roman"/>
        <family val="1"/>
      </rPr>
      <t>)+1(</t>
    </r>
    <r>
      <rPr>
        <sz val="20"/>
        <color theme="1"/>
        <rFont val="標楷體"/>
        <family val="4"/>
        <charset val="136"/>
      </rPr>
      <t>預留</t>
    </r>
    <r>
      <rPr>
        <sz val="20"/>
        <color theme="1"/>
        <rFont val="Times New Roman"/>
        <family val="1"/>
      </rPr>
      <t>)</t>
    </r>
  </si>
  <si>
    <r>
      <rPr>
        <sz val="20"/>
        <color theme="1"/>
        <rFont val="標楷體"/>
        <family val="4"/>
        <charset val="136"/>
      </rPr>
      <t>崩</t>
    </r>
    <r>
      <rPr>
        <sz val="20"/>
        <color theme="1"/>
        <rFont val="Times New Roman"/>
        <family val="1"/>
      </rPr>
      <t>W2</t>
    </r>
  </si>
  <si>
    <r>
      <rPr>
        <sz val="20"/>
        <color theme="1"/>
        <rFont val="標楷體"/>
        <family val="4"/>
        <charset val="136"/>
      </rPr>
      <t>崩</t>
    </r>
    <r>
      <rPr>
        <sz val="20"/>
        <color theme="1"/>
        <rFont val="Times New Roman"/>
        <family val="1"/>
      </rPr>
      <t>B2</t>
    </r>
  </si>
  <si>
    <r>
      <t>1</t>
    </r>
    <r>
      <rPr>
        <sz val="20"/>
        <color theme="1"/>
        <rFont val="標楷體"/>
        <family val="4"/>
        <charset val="136"/>
      </rPr>
      <t>座白鐵分水箱</t>
    </r>
    <r>
      <rPr>
        <sz val="20"/>
        <color theme="1"/>
        <rFont val="Times New Roman"/>
        <family val="1"/>
      </rPr>
      <t>(</t>
    </r>
    <r>
      <rPr>
        <sz val="20"/>
        <color theme="1"/>
        <rFont val="標楷體"/>
        <family val="4"/>
        <charset val="136"/>
      </rPr>
      <t>架高以利後續溢流管銜</t>
    </r>
  </si>
  <si>
    <r>
      <rPr>
        <sz val="20"/>
        <color theme="1"/>
        <rFont val="標楷體"/>
        <family val="4"/>
        <charset val="136"/>
      </rPr>
      <t>崩</t>
    </r>
    <r>
      <rPr>
        <sz val="20"/>
        <color theme="1"/>
        <rFont val="Times New Roman"/>
        <family val="1"/>
      </rPr>
      <t>2-1</t>
    </r>
  </si>
  <si>
    <r>
      <t>2(</t>
    </r>
    <r>
      <rPr>
        <sz val="20"/>
        <color theme="1"/>
        <rFont val="標楷體"/>
        <family val="4"/>
        <charset val="136"/>
      </rPr>
      <t>可接管</t>
    </r>
    <r>
      <rPr>
        <sz val="20"/>
        <color theme="1"/>
        <rFont val="Times New Roman"/>
        <family val="1"/>
      </rPr>
      <t>)+2(</t>
    </r>
    <r>
      <rPr>
        <sz val="20"/>
        <color theme="1"/>
        <rFont val="標楷體"/>
        <family val="4"/>
        <charset val="136"/>
      </rPr>
      <t>預留</t>
    </r>
    <r>
      <rPr>
        <sz val="20"/>
        <color theme="1"/>
        <rFont val="Times New Roman"/>
        <family val="1"/>
      </rPr>
      <t>)</t>
    </r>
  </si>
  <si>
    <r>
      <rPr>
        <sz val="20"/>
        <color theme="1"/>
        <rFont val="標楷體"/>
        <family val="4"/>
        <charset val="136"/>
      </rPr>
      <t>崩</t>
    </r>
    <r>
      <rPr>
        <sz val="20"/>
        <color theme="1"/>
        <rFont val="Times New Roman"/>
        <family val="1"/>
      </rPr>
      <t>2-2</t>
    </r>
  </si>
  <si>
    <r>
      <rPr>
        <sz val="20"/>
        <color theme="1"/>
        <rFont val="標楷體"/>
        <family val="4"/>
        <charset val="136"/>
      </rPr>
      <t>崩</t>
    </r>
    <r>
      <rPr>
        <sz val="20"/>
        <color theme="1"/>
        <rFont val="Times New Roman"/>
        <family val="1"/>
      </rPr>
      <t>W3</t>
    </r>
  </si>
  <si>
    <r>
      <rPr>
        <sz val="20"/>
        <color theme="1"/>
        <rFont val="標楷體"/>
        <family val="4"/>
        <charset val="136"/>
      </rPr>
      <t>崩</t>
    </r>
    <r>
      <rPr>
        <sz val="20"/>
        <color theme="1"/>
        <rFont val="Times New Roman"/>
        <family val="1"/>
      </rPr>
      <t>B3</t>
    </r>
  </si>
  <si>
    <r>
      <rPr>
        <sz val="20"/>
        <color theme="1"/>
        <rFont val="標楷體"/>
        <family val="4"/>
        <charset val="136"/>
      </rPr>
      <t>崩</t>
    </r>
    <r>
      <rPr>
        <sz val="20"/>
        <color theme="1"/>
        <rFont val="Times New Roman"/>
        <family val="1"/>
      </rPr>
      <t>3-1</t>
    </r>
  </si>
  <si>
    <r>
      <rPr>
        <sz val="20"/>
        <color theme="1"/>
        <rFont val="標楷體"/>
        <family val="4"/>
        <charset val="136"/>
      </rPr>
      <t>崩</t>
    </r>
    <r>
      <rPr>
        <sz val="20"/>
        <color theme="1"/>
        <rFont val="Times New Roman"/>
        <family val="1"/>
      </rPr>
      <t>W4</t>
    </r>
  </si>
  <si>
    <r>
      <rPr>
        <sz val="20"/>
        <color theme="1"/>
        <rFont val="標楷體"/>
        <family val="4"/>
        <charset val="136"/>
      </rPr>
      <t>白鐵蓋板、可掀蓋、</t>
    </r>
    <r>
      <rPr>
        <sz val="20"/>
        <color theme="1"/>
        <rFont val="Times New Roman"/>
        <family val="1"/>
      </rPr>
      <t>2</t>
    </r>
    <r>
      <rPr>
        <sz val="20"/>
        <color theme="1"/>
        <rFont val="標楷體"/>
        <family val="4"/>
        <charset val="136"/>
      </rPr>
      <t>座用聯通管銜接</t>
    </r>
  </si>
  <si>
    <r>
      <rPr>
        <sz val="20"/>
        <color theme="1"/>
        <rFont val="標楷體"/>
        <family val="4"/>
        <charset val="136"/>
      </rPr>
      <t>崩</t>
    </r>
    <r>
      <rPr>
        <sz val="20"/>
        <color theme="1"/>
        <rFont val="Times New Roman"/>
        <family val="1"/>
      </rPr>
      <t>B4</t>
    </r>
  </si>
  <si>
    <r>
      <rPr>
        <sz val="20"/>
        <color theme="1"/>
        <rFont val="標楷體"/>
        <family val="4"/>
        <charset val="136"/>
      </rPr>
      <t>崩</t>
    </r>
    <r>
      <rPr>
        <sz val="20"/>
        <color theme="1"/>
        <rFont val="Times New Roman"/>
        <family val="1"/>
      </rPr>
      <t>4-1</t>
    </r>
  </si>
  <si>
    <r>
      <rPr>
        <sz val="20"/>
        <color theme="1"/>
        <rFont val="標楷體"/>
        <family val="4"/>
        <charset val="136"/>
      </rPr>
      <t>崩</t>
    </r>
    <r>
      <rPr>
        <sz val="20"/>
        <color theme="1"/>
        <rFont val="Times New Roman"/>
        <family val="1"/>
      </rPr>
      <t>4-2</t>
    </r>
  </si>
  <si>
    <r>
      <t>2(</t>
    </r>
    <r>
      <rPr>
        <sz val="20"/>
        <color theme="1"/>
        <rFont val="標楷體"/>
        <family val="4"/>
        <charset val="136"/>
      </rPr>
      <t>可接管</t>
    </r>
    <r>
      <rPr>
        <sz val="20"/>
        <color theme="1"/>
        <rFont val="Times New Roman"/>
        <family val="1"/>
      </rPr>
      <t>)+1(</t>
    </r>
    <r>
      <rPr>
        <sz val="20"/>
        <color theme="1"/>
        <rFont val="標楷體"/>
        <family val="4"/>
        <charset val="136"/>
      </rPr>
      <t>預留</t>
    </r>
    <r>
      <rPr>
        <sz val="20"/>
        <color theme="1"/>
        <rFont val="Times New Roman"/>
        <family val="1"/>
      </rPr>
      <t>)</t>
    </r>
  </si>
  <si>
    <r>
      <rPr>
        <sz val="20"/>
        <color theme="1"/>
        <rFont val="標楷體"/>
        <family val="4"/>
        <charset val="136"/>
      </rPr>
      <t>崩</t>
    </r>
    <r>
      <rPr>
        <sz val="20"/>
        <color theme="1"/>
        <rFont val="Times New Roman"/>
        <family val="1"/>
      </rPr>
      <t>4-3</t>
    </r>
  </si>
  <si>
    <r>
      <rPr>
        <sz val="20"/>
        <color theme="1"/>
        <rFont val="標楷體"/>
        <family val="4"/>
        <charset val="136"/>
      </rPr>
      <t>陳永輝</t>
    </r>
  </si>
  <si>
    <r>
      <rPr>
        <sz val="20"/>
        <color theme="1"/>
        <rFont val="標楷體"/>
        <family val="4"/>
        <charset val="136"/>
      </rPr>
      <t>崩</t>
    </r>
    <r>
      <rPr>
        <sz val="20"/>
        <color theme="1"/>
        <rFont val="Times New Roman"/>
        <family val="1"/>
      </rPr>
      <t>4-4</t>
    </r>
  </si>
  <si>
    <r>
      <t>2(</t>
    </r>
    <r>
      <rPr>
        <sz val="20"/>
        <color theme="1"/>
        <rFont val="標楷體"/>
        <family val="4"/>
        <charset val="136"/>
      </rPr>
      <t>可接管</t>
    </r>
    <r>
      <rPr>
        <sz val="20"/>
        <color theme="1"/>
        <rFont val="Times New Roman"/>
        <family val="1"/>
      </rPr>
      <t>)</t>
    </r>
  </si>
  <si>
    <r>
      <rPr>
        <sz val="20"/>
        <color theme="1"/>
        <rFont val="標楷體"/>
        <family val="4"/>
        <charset val="136"/>
      </rPr>
      <t>崩</t>
    </r>
    <r>
      <rPr>
        <sz val="20"/>
        <color theme="1"/>
        <rFont val="Times New Roman"/>
        <family val="1"/>
      </rPr>
      <t>4-5</t>
    </r>
  </si>
  <si>
    <r>
      <rPr>
        <sz val="20"/>
        <color theme="1"/>
        <rFont val="標楷體"/>
        <family val="4"/>
        <charset val="136"/>
      </rPr>
      <t>戴榮讓</t>
    </r>
  </si>
  <si>
    <r>
      <rPr>
        <sz val="20"/>
        <color theme="1"/>
        <rFont val="標楷體"/>
        <family val="4"/>
        <charset val="136"/>
      </rPr>
      <t>崩</t>
    </r>
    <r>
      <rPr>
        <sz val="20"/>
        <color theme="1"/>
        <rFont val="Times New Roman"/>
        <family val="1"/>
      </rPr>
      <t>4-6</t>
    </r>
  </si>
  <si>
    <r>
      <rPr>
        <sz val="20"/>
        <color theme="1"/>
        <rFont val="標楷體"/>
        <family val="4"/>
        <charset val="136"/>
      </rPr>
      <t>崩</t>
    </r>
    <r>
      <rPr>
        <sz val="20"/>
        <color theme="1"/>
        <rFont val="Times New Roman"/>
        <family val="1"/>
      </rPr>
      <t>4-7</t>
    </r>
    <r>
      <rPr>
        <sz val="20"/>
        <color theme="1"/>
        <rFont val="標楷體"/>
        <family val="4"/>
        <charset val="136"/>
      </rPr>
      <t>、</t>
    </r>
    <r>
      <rPr>
        <sz val="20"/>
        <color theme="1"/>
        <rFont val="Times New Roman"/>
        <family val="1"/>
      </rPr>
      <t>8</t>
    </r>
  </si>
  <si>
    <r>
      <t>1.5"</t>
    </r>
    <r>
      <rPr>
        <sz val="20"/>
        <color theme="1"/>
        <rFont val="標楷體"/>
        <family val="4"/>
        <charset val="136"/>
      </rPr>
      <t>左岸下游</t>
    </r>
    <r>
      <rPr>
        <sz val="20"/>
        <color theme="1"/>
        <rFont val="Times New Roman"/>
        <family val="1"/>
      </rPr>
      <t>(</t>
    </r>
    <r>
      <rPr>
        <sz val="20"/>
        <color theme="1"/>
        <rFont val="標楷體"/>
        <family val="4"/>
        <charset val="136"/>
      </rPr>
      <t>預計給陳福</t>
    </r>
    <r>
      <rPr>
        <sz val="20"/>
        <color theme="1"/>
        <rFont val="Times New Roman"/>
        <family val="1"/>
      </rPr>
      <t>)</t>
    </r>
    <r>
      <rPr>
        <sz val="20"/>
        <color theme="1"/>
        <rFont val="標楷體"/>
        <family val="4"/>
        <charset val="136"/>
      </rPr>
      <t>、</t>
    </r>
    <r>
      <rPr>
        <sz val="20"/>
        <color theme="1"/>
        <rFont val="Times New Roman"/>
        <family val="1"/>
      </rPr>
      <t>1"</t>
    </r>
    <r>
      <rPr>
        <sz val="20"/>
        <color theme="1"/>
        <rFont val="標楷體"/>
        <family val="4"/>
        <charset val="136"/>
      </rPr>
      <t>右岸下游</t>
    </r>
  </si>
  <si>
    <r>
      <rPr>
        <sz val="20"/>
        <color theme="1"/>
        <rFont val="標楷體"/>
        <family val="4"/>
        <charset val="136"/>
      </rPr>
      <t>崩</t>
    </r>
    <r>
      <rPr>
        <sz val="20"/>
        <color theme="1"/>
        <rFont val="Times New Roman"/>
        <family val="1"/>
      </rPr>
      <t>W5</t>
    </r>
  </si>
  <si>
    <r>
      <t>114</t>
    </r>
    <r>
      <rPr>
        <sz val="20"/>
        <color theme="1"/>
        <rFont val="標楷體"/>
        <family val="4"/>
        <charset val="136"/>
      </rPr>
      <t>年</t>
    </r>
  </si>
  <si>
    <r>
      <rPr>
        <sz val="20"/>
        <color theme="1"/>
        <rFont val="標楷體"/>
        <family val="4"/>
        <charset val="136"/>
      </rPr>
      <t>崩</t>
    </r>
    <r>
      <rPr>
        <sz val="20"/>
        <color theme="1"/>
        <rFont val="Times New Roman"/>
        <family val="1"/>
      </rPr>
      <t>B5</t>
    </r>
  </si>
  <si>
    <r>
      <t>1</t>
    </r>
    <r>
      <rPr>
        <sz val="20"/>
        <color theme="1"/>
        <rFont val="標楷體"/>
        <family val="4"/>
        <charset val="136"/>
      </rPr>
      <t>座</t>
    </r>
    <r>
      <rPr>
        <sz val="20"/>
        <color theme="1"/>
        <rFont val="Times New Roman"/>
        <family val="1"/>
      </rPr>
      <t>1</t>
    </r>
    <r>
      <rPr>
        <sz val="20"/>
        <color theme="1"/>
        <rFont val="標楷體"/>
        <family val="4"/>
        <charset val="136"/>
      </rPr>
      <t>噸白鐵蓄水塔</t>
    </r>
  </si>
  <si>
    <r>
      <rPr>
        <sz val="20"/>
        <color theme="1"/>
        <rFont val="標楷體"/>
        <family val="4"/>
        <charset val="136"/>
      </rPr>
      <t>崩</t>
    </r>
    <r>
      <rPr>
        <sz val="20"/>
        <color theme="1"/>
        <rFont val="Times New Roman"/>
        <family val="1"/>
      </rPr>
      <t>5-1</t>
    </r>
  </si>
  <si>
    <r>
      <rPr>
        <sz val="20"/>
        <color theme="1"/>
        <rFont val="標楷體"/>
        <family val="4"/>
        <charset val="136"/>
      </rPr>
      <t>崩</t>
    </r>
    <r>
      <rPr>
        <sz val="20"/>
        <color theme="1"/>
        <rFont val="Times New Roman"/>
        <family val="1"/>
      </rPr>
      <t>5-2</t>
    </r>
  </si>
  <si>
    <r>
      <rPr>
        <sz val="20"/>
        <color theme="1"/>
        <rFont val="標楷體"/>
        <family val="4"/>
        <charset val="136"/>
      </rPr>
      <t>總幹事建議預留管頭，未來私有地有</t>
    </r>
  </si>
  <si>
    <r>
      <rPr>
        <sz val="20"/>
        <color theme="1"/>
        <rFont val="標楷體"/>
        <family val="4"/>
        <charset val="136"/>
      </rPr>
      <t>崩</t>
    </r>
    <r>
      <rPr>
        <sz val="20"/>
        <color theme="1"/>
        <rFont val="Times New Roman"/>
        <family val="1"/>
      </rPr>
      <t>5-3</t>
    </r>
  </si>
  <si>
    <r>
      <t>1(</t>
    </r>
    <r>
      <rPr>
        <sz val="20"/>
        <color theme="1"/>
        <rFont val="標楷體"/>
        <family val="4"/>
        <charset val="136"/>
      </rPr>
      <t>可接管</t>
    </r>
    <r>
      <rPr>
        <sz val="20"/>
        <color theme="1"/>
        <rFont val="Times New Roman"/>
        <family val="1"/>
      </rPr>
      <t>)(</t>
    </r>
    <r>
      <rPr>
        <sz val="20"/>
        <color theme="1"/>
        <rFont val="標楷體"/>
        <family val="4"/>
        <charset val="136"/>
      </rPr>
      <t>兩兄弟共用</t>
    </r>
    <r>
      <rPr>
        <sz val="20"/>
        <color theme="1"/>
        <rFont val="Times New Roman"/>
        <family val="1"/>
      </rPr>
      <t>\)</t>
    </r>
  </si>
  <si>
    <r>
      <rPr>
        <sz val="20"/>
        <color theme="1"/>
        <rFont val="標楷體"/>
        <family val="4"/>
        <charset val="136"/>
      </rPr>
      <t>崩</t>
    </r>
    <r>
      <rPr>
        <sz val="20"/>
        <color theme="1"/>
        <rFont val="Times New Roman"/>
        <family val="1"/>
      </rPr>
      <t>5-4</t>
    </r>
  </si>
  <si>
    <r>
      <rPr>
        <sz val="20"/>
        <color theme="1"/>
        <rFont val="標楷體"/>
        <family val="4"/>
        <charset val="136"/>
      </rPr>
      <t>崩</t>
    </r>
    <r>
      <rPr>
        <sz val="20"/>
        <color theme="1"/>
        <rFont val="Times New Roman"/>
        <family val="1"/>
      </rPr>
      <t>W6</t>
    </r>
  </si>
  <si>
    <r>
      <rPr>
        <sz val="20"/>
        <color theme="1"/>
        <rFont val="標楷體"/>
        <family val="4"/>
        <charset val="136"/>
      </rPr>
      <t>白鐵蓋板、可掀蓋</t>
    </r>
  </si>
  <si>
    <r>
      <rPr>
        <sz val="20"/>
        <color theme="1"/>
        <rFont val="標楷體"/>
        <family val="4"/>
        <charset val="136"/>
      </rPr>
      <t>崩</t>
    </r>
    <r>
      <rPr>
        <sz val="20"/>
        <color theme="1"/>
        <rFont val="Times New Roman"/>
        <family val="1"/>
      </rPr>
      <t>B6</t>
    </r>
  </si>
  <si>
    <r>
      <rPr>
        <sz val="20"/>
        <color theme="1"/>
        <rFont val="標楷體"/>
        <family val="4"/>
        <charset val="136"/>
      </rPr>
      <t>崩</t>
    </r>
    <r>
      <rPr>
        <sz val="20"/>
        <color theme="1"/>
        <rFont val="Times New Roman"/>
        <family val="1"/>
      </rPr>
      <t>6-1</t>
    </r>
  </si>
  <si>
    <r>
      <rPr>
        <sz val="20"/>
        <color theme="1"/>
        <rFont val="標楷體"/>
        <family val="4"/>
        <charset val="136"/>
      </rPr>
      <t>分水箱旁農地用</t>
    </r>
  </si>
  <si>
    <r>
      <rPr>
        <sz val="20"/>
        <color theme="1"/>
        <rFont val="標楷體"/>
        <family val="4"/>
        <charset val="136"/>
      </rPr>
      <t>崩</t>
    </r>
    <r>
      <rPr>
        <sz val="20"/>
        <color theme="1"/>
        <rFont val="Times New Roman"/>
        <family val="1"/>
      </rPr>
      <t>6-2</t>
    </r>
  </si>
  <si>
    <r>
      <t>1(</t>
    </r>
    <r>
      <rPr>
        <sz val="20"/>
        <color theme="1"/>
        <rFont val="標楷體"/>
        <family val="4"/>
        <charset val="136"/>
      </rPr>
      <t>可接管</t>
    </r>
    <r>
      <rPr>
        <sz val="20"/>
        <color theme="1"/>
        <rFont val="Times New Roman"/>
        <family val="1"/>
      </rPr>
      <t>)</t>
    </r>
  </si>
  <si>
    <r>
      <rPr>
        <sz val="20"/>
        <color theme="1"/>
        <rFont val="標楷體"/>
        <family val="4"/>
        <charset val="136"/>
      </rPr>
      <t>崩</t>
    </r>
    <r>
      <rPr>
        <sz val="20"/>
        <color theme="1"/>
        <rFont val="Times New Roman"/>
        <family val="1"/>
      </rPr>
      <t>6-3</t>
    </r>
  </si>
  <si>
    <r>
      <rPr>
        <sz val="20"/>
        <color theme="1"/>
        <rFont val="標楷體"/>
        <family val="4"/>
        <charset val="136"/>
      </rPr>
      <t>崩</t>
    </r>
    <r>
      <rPr>
        <sz val="20"/>
        <color theme="1"/>
        <rFont val="Times New Roman"/>
        <family val="1"/>
      </rPr>
      <t>6-4</t>
    </r>
  </si>
  <si>
    <r>
      <rPr>
        <sz val="20"/>
        <color theme="1"/>
        <rFont val="標楷體"/>
        <family val="4"/>
        <charset val="136"/>
      </rPr>
      <t>崩</t>
    </r>
    <r>
      <rPr>
        <sz val="20"/>
        <color theme="1"/>
        <rFont val="Times New Roman"/>
        <family val="1"/>
      </rPr>
      <t>6-5</t>
    </r>
  </si>
  <si>
    <r>
      <rPr>
        <sz val="20"/>
        <color theme="1"/>
        <rFont val="標楷體"/>
        <family val="4"/>
        <charset val="136"/>
      </rPr>
      <t>崩</t>
    </r>
    <r>
      <rPr>
        <sz val="20"/>
        <color theme="1"/>
        <rFont val="Times New Roman"/>
        <family val="1"/>
      </rPr>
      <t>6-6</t>
    </r>
  </si>
  <si>
    <r>
      <rPr>
        <sz val="20"/>
        <color theme="1"/>
        <rFont val="標楷體"/>
        <family val="4"/>
        <charset val="136"/>
      </rPr>
      <t>觀音坑溪</t>
    </r>
  </si>
  <si>
    <r>
      <rPr>
        <sz val="20"/>
        <color theme="1"/>
        <rFont val="標楷體"/>
        <family val="4"/>
        <charset val="136"/>
      </rPr>
      <t>觀</t>
    </r>
    <r>
      <rPr>
        <sz val="20"/>
        <color theme="1"/>
        <rFont val="Times New Roman"/>
        <family val="1"/>
      </rPr>
      <t>1-1</t>
    </r>
  </si>
  <si>
    <r>
      <rPr>
        <sz val="20"/>
        <color theme="1"/>
        <rFont val="標楷體"/>
        <family val="4"/>
        <charset val="136"/>
      </rPr>
      <t>觀</t>
    </r>
    <r>
      <rPr>
        <sz val="20"/>
        <color theme="1"/>
        <rFont val="Times New Roman"/>
        <family val="1"/>
      </rPr>
      <t>1-2</t>
    </r>
  </si>
  <si>
    <r>
      <rPr>
        <sz val="20"/>
        <color theme="1"/>
        <rFont val="標楷體"/>
        <family val="4"/>
        <charset val="136"/>
      </rPr>
      <t>觀</t>
    </r>
    <r>
      <rPr>
        <sz val="20"/>
        <color theme="1"/>
        <rFont val="Times New Roman"/>
        <family val="1"/>
      </rPr>
      <t>B1</t>
    </r>
  </si>
  <si>
    <r>
      <rPr>
        <sz val="20"/>
        <color theme="1"/>
        <rFont val="標楷體"/>
        <family val="4"/>
        <charset val="136"/>
      </rPr>
      <t>觀</t>
    </r>
    <r>
      <rPr>
        <sz val="20"/>
        <color theme="1"/>
        <rFont val="Times New Roman"/>
        <family val="1"/>
      </rPr>
      <t>W1</t>
    </r>
  </si>
  <si>
    <r>
      <rPr>
        <sz val="20"/>
        <color theme="1"/>
        <rFont val="標楷體"/>
        <family val="4"/>
        <charset val="136"/>
      </rPr>
      <t>穿孔集水管</t>
    </r>
  </si>
  <si>
    <t xml:space="preserve">  </t>
    <phoneticPr fontId="1" type="noConversion"/>
  </si>
  <si>
    <t>可優化方向</t>
    <phoneticPr fontId="1" type="noConversion"/>
  </si>
  <si>
    <t>照片</t>
    <phoneticPr fontId="1" type="noConversion"/>
  </si>
  <si>
    <t>取水設施</t>
    <phoneticPr fontId="1" type="noConversion"/>
  </si>
  <si>
    <t>分水箱</t>
    <phoneticPr fontId="1" type="noConversion"/>
  </si>
  <si>
    <t>分水鞍</t>
    <phoneticPr fontId="1" type="noConversion"/>
  </si>
  <si>
    <t>接管數</t>
    <phoneticPr fontId="1" type="noConversion"/>
  </si>
  <si>
    <t>接管戶名</t>
    <phoneticPr fontId="1" type="noConversion"/>
  </si>
  <si>
    <t>1-王大明、2-xxx</t>
    <phoneticPr fontId="1" type="noConversion"/>
  </si>
  <si>
    <t>球閥不易開啟</t>
    <phoneticPr fontId="1" type="noConversion"/>
  </si>
  <si>
    <t>解決方案</t>
    <phoneticPr fontId="1" type="noConversion"/>
  </si>
  <si>
    <t>把手延伸管</t>
    <phoneticPr fontId="1" type="noConversion"/>
  </si>
  <si>
    <t>樣態</t>
    <phoneticPr fontId="1" type="noConversion"/>
  </si>
  <si>
    <t>出水口過低，淤砂影響</t>
    <phoneticPr fontId="1" type="noConversion"/>
  </si>
  <si>
    <t>下管改接上管</t>
    <phoneticPr fontId="1" type="noConversion"/>
  </si>
  <si>
    <t>取水箱難以到達</t>
    <phoneticPr fontId="1" type="noConversion"/>
  </si>
  <si>
    <t>三角架焊接斷裂</t>
    <phoneticPr fontId="1" type="noConversion"/>
  </si>
  <si>
    <t>改直立式角鋼</t>
    <phoneticPr fontId="1" type="noConversion"/>
  </si>
  <si>
    <t>安全性-分水鞍</t>
    <phoneticPr fontId="1" type="noConversion"/>
  </si>
  <si>
    <t>安全性-排砂閥</t>
    <phoneticPr fontId="1" type="noConversion"/>
  </si>
  <si>
    <t>設置安全扶手</t>
    <phoneticPr fontId="1" type="noConversion"/>
  </si>
  <si>
    <t>設置塑膠包覆踏接或活動爬梯</t>
    <phoneticPr fontId="1" type="noConversion"/>
  </si>
  <si>
    <t>五金構件尖銳</t>
    <phoneticPr fontId="1" type="noConversion"/>
  </si>
  <si>
    <t>圓角處理或塑膠蓋</t>
    <phoneticPr fontId="1" type="noConversion"/>
  </si>
  <si>
    <t>設施無標示</t>
    <phoneticPr fontId="1" type="noConversion"/>
  </si>
  <si>
    <t>取水箱、分水箱、分水鞍設置名牌</t>
    <phoneticPr fontId="1" type="noConversion"/>
  </si>
  <si>
    <t>接管率過低</t>
    <phoneticPr fontId="1" type="noConversion"/>
  </si>
  <si>
    <t>現場無接管戶資訊</t>
    <phoneticPr fontId="1" type="noConversion"/>
  </si>
  <si>
    <t>設置名牌</t>
    <phoneticPr fontId="1" type="noConversion"/>
  </si>
  <si>
    <t>無輪灌機制</t>
    <phoneticPr fontId="1" type="noConversion"/>
  </si>
  <si>
    <t>-</t>
    <phoneticPr fontId="1" type="noConversion"/>
  </si>
  <si>
    <t>無人清淤維護</t>
    <phoneticPr fontId="1" type="noConversion"/>
  </si>
  <si>
    <t>設置專責維護人員固定頻率清淤及查檢</t>
    <phoneticPr fontId="1" type="noConversion"/>
  </si>
  <si>
    <t>修改為活動式</t>
    <phoneticPr fontId="1" type="noConversion"/>
  </si>
  <si>
    <t>取水箱無活動式開孔</t>
    <phoneticPr fontId="1" type="noConversion"/>
  </si>
  <si>
    <t>球閥過近操作不易</t>
    <phoneticPr fontId="1" type="noConversion"/>
  </si>
  <si>
    <t>納入新建設施精進重點</t>
    <phoneticPr fontId="1" type="noConversion"/>
  </si>
  <si>
    <t>箱體洩水坡度不足</t>
    <phoneticPr fontId="1" type="noConversion"/>
  </si>
  <si>
    <t>提高坡度</t>
    <phoneticPr fontId="1" type="noConversion"/>
  </si>
  <si>
    <t>箱體導水坡面破損</t>
    <phoneticPr fontId="1" type="noConversion"/>
  </si>
  <si>
    <t>安全性-行走動線</t>
    <phoneticPr fontId="1" type="noConversion"/>
  </si>
  <si>
    <t>無動力揚水進水不穩定</t>
    <phoneticPr fontId="1" type="noConversion"/>
  </si>
  <si>
    <t>無動力揚水調整至崩1-1後方，增設蓄水塔(吳明月)</t>
    <phoneticPr fontId="1" type="noConversion"/>
  </si>
  <si>
    <t>斷管</t>
    <phoneticPr fontId="1" type="noConversion"/>
  </si>
  <si>
    <t>蓄水塔下方無排砂管</t>
    <phoneticPr fontId="1" type="noConversion"/>
  </si>
  <si>
    <t>出水管末端排砂管錯接</t>
    <phoneticPr fontId="1" type="noConversion"/>
  </si>
  <si>
    <t>溢流管對衝管線易造成脫落</t>
    <phoneticPr fontId="1" type="noConversion"/>
  </si>
  <si>
    <t>裝設斜角彎管避免對衝</t>
    <phoneticPr fontId="1" type="noConversion"/>
  </si>
  <si>
    <t>現況樣態</t>
    <phoneticPr fontId="1" type="noConversion"/>
  </si>
  <si>
    <t>總管數</t>
    <phoneticPr fontId="1" type="noConversion"/>
  </si>
  <si>
    <t>cctv、電磁閥回收</t>
    <phoneticPr fontId="1" type="noConversion"/>
  </si>
  <si>
    <t>旱灌補助</t>
    <phoneticPr fontId="1" type="noConversion"/>
  </si>
  <si>
    <t>總管長</t>
    <phoneticPr fontId="1" type="noConversion"/>
  </si>
  <si>
    <t>造價</t>
    <phoneticPr fontId="1" type="noConversion"/>
  </si>
  <si>
    <t>115 5月現場無接管</t>
    <phoneticPr fontId="1" type="noConversion"/>
  </si>
  <si>
    <t>115 4月現場分水頭斷掉</t>
    <phoneticPr fontId="1" type="noConversion"/>
  </si>
  <si>
    <t>接管戶4、5錯接至4-7&amp;8上游主管</t>
    <phoneticPr fontId="1" type="noConversion"/>
  </si>
  <si>
    <t>崩W5、6更新接管現況</t>
    <phoneticPr fontId="1" type="noConversion"/>
  </si>
  <si>
    <t>集水區</t>
    <phoneticPr fontId="1" type="noConversion"/>
  </si>
  <si>
    <t>建置年分</t>
    <phoneticPr fontId="1" type="noConversion"/>
  </si>
  <si>
    <t>分水箱/管組</t>
    <phoneticPr fontId="1" type="noConversion"/>
  </si>
  <si>
    <t>高程</t>
    <phoneticPr fontId="1" type="noConversion"/>
  </si>
  <si>
    <t>接管用戶</t>
    <phoneticPr fontId="1" type="noConversion"/>
  </si>
  <si>
    <t>接管率</t>
    <phoneticPr fontId="1" type="noConversion"/>
  </si>
  <si>
    <t>中直坑溪</t>
    <phoneticPr fontId="1" type="noConversion"/>
  </si>
  <si>
    <t>中W1</t>
    <phoneticPr fontId="1" type="noConversion"/>
  </si>
  <si>
    <t>中B1</t>
    <phoneticPr fontId="1" type="noConversion"/>
  </si>
  <si>
    <t>陳文程
陳汪鏗
陳慶華
陳金樹
陳金傳</t>
    <phoneticPr fontId="1" type="noConversion"/>
  </si>
  <si>
    <t>中W2</t>
    <phoneticPr fontId="1" type="noConversion"/>
  </si>
  <si>
    <t>中B2</t>
    <phoneticPr fontId="1" type="noConversion"/>
  </si>
  <si>
    <t>陳文程</t>
    <phoneticPr fontId="1" type="noConversion"/>
  </si>
  <si>
    <t>非常流水又與常流水的中W1靠太近，所以沒人想接</t>
    <phoneticPr fontId="1" type="noConversion"/>
  </si>
  <si>
    <t>中W3</t>
  </si>
  <si>
    <t>中B3</t>
  </si>
  <si>
    <t>陳茂雄
陳衍志
林世文
陳添進</t>
    <phoneticPr fontId="1" type="noConversion"/>
  </si>
  <si>
    <t>中W4</t>
  </si>
  <si>
    <t>中B4</t>
  </si>
  <si>
    <t>林國明
陳良煙</t>
    <phoneticPr fontId="1" type="noConversion"/>
  </si>
  <si>
    <t>中W5</t>
  </si>
  <si>
    <t>中B5</t>
  </si>
  <si>
    <t>林國順</t>
    <phoneticPr fontId="1" type="noConversion"/>
  </si>
  <si>
    <t>非常流水，僅降雨當下坑溝有水</t>
    <phoneticPr fontId="1" type="noConversion"/>
  </si>
  <si>
    <t>崩山坑溪</t>
    <phoneticPr fontId="1" type="noConversion"/>
  </si>
  <si>
    <t>崩W1</t>
    <phoneticPr fontId="1" type="noConversion"/>
  </si>
  <si>
    <t>崩B1-1</t>
    <phoneticPr fontId="1" type="noConversion"/>
  </si>
  <si>
    <t>崩B1-2</t>
    <phoneticPr fontId="1" type="noConversion"/>
  </si>
  <si>
    <t>崩1-1</t>
    <phoneticPr fontId="1" type="noConversion"/>
  </si>
  <si>
    <t>吳明月</t>
    <phoneticPr fontId="1" type="noConversion"/>
  </si>
  <si>
    <t>崩1-2</t>
    <phoneticPr fontId="1" type="noConversion"/>
  </si>
  <si>
    <t>林延熙</t>
    <phoneticPr fontId="1" type="noConversion"/>
  </si>
  <si>
    <t>林延熙表示之前有跟吳明月談過，可以在崩1-1跟1-2之間放置蓄水塔，雖然那個位置會被吳明月的私有地包起來他們不好進入，但既然吳明月同意可以讓他們進出那就沒關係</t>
    <phoneticPr fontId="1" type="noConversion"/>
  </si>
  <si>
    <t>崩1-3</t>
    <phoneticPr fontId="1" type="noConversion"/>
  </si>
  <si>
    <t>伍春香
黃明德
接管戶1(未查明)</t>
    <phoneticPr fontId="1" type="noConversion"/>
  </si>
  <si>
    <t>無動力揚水</t>
    <phoneticPr fontId="1" type="noConversion"/>
  </si>
  <si>
    <t>江來有</t>
    <phoneticPr fontId="1" type="noConversion"/>
  </si>
  <si>
    <t>崩W2</t>
    <phoneticPr fontId="1" type="noConversion"/>
  </si>
  <si>
    <t>崩B2</t>
    <phoneticPr fontId="1" type="noConversion"/>
  </si>
  <si>
    <t>崩2-1</t>
    <phoneticPr fontId="1" type="noConversion"/>
  </si>
  <si>
    <t>陳錦盛
李曜文</t>
    <phoneticPr fontId="1" type="noConversion"/>
  </si>
  <si>
    <t>崩2-2</t>
    <phoneticPr fontId="1" type="noConversion"/>
  </si>
  <si>
    <t>李東來</t>
    <phoneticPr fontId="1" type="noConversion"/>
  </si>
  <si>
    <t>崩W3</t>
    <phoneticPr fontId="1" type="noConversion"/>
  </si>
  <si>
    <t>崩B3</t>
    <phoneticPr fontId="1" type="noConversion"/>
  </si>
  <si>
    <t>崩3-1</t>
    <phoneticPr fontId="1" type="noConversion"/>
  </si>
  <si>
    <t>李東來(已預約)
張海桐(已預約)</t>
    <phoneticPr fontId="1" type="noConversion"/>
  </si>
  <si>
    <t>非常流水，取水點水質沒問題，但在地農民眼光只看到非常流水+取水點下游鐵質含量高，所以不想接，要等崩W2溢流水接過來才要接管</t>
    <phoneticPr fontId="1" type="noConversion"/>
  </si>
  <si>
    <t>崩W4</t>
    <phoneticPr fontId="1" type="noConversion"/>
  </si>
  <si>
    <t>崩B4</t>
    <phoneticPr fontId="1" type="noConversion"/>
  </si>
  <si>
    <t>崩4-1</t>
    <phoneticPr fontId="1" type="noConversion"/>
  </si>
  <si>
    <t>陳信夫家旁，分水箱放在他果園旁邊，但他是更高處的菜園需要水，所以這個位置比較像事備用點位</t>
    <phoneticPr fontId="1" type="noConversion"/>
  </si>
  <si>
    <t>崩4-2</t>
  </si>
  <si>
    <t>接管戶2、3(未查明)</t>
    <phoneticPr fontId="1" type="noConversion"/>
  </si>
  <si>
    <t>崩4-3</t>
  </si>
  <si>
    <t>陳永輝</t>
  </si>
  <si>
    <t>崩4-4</t>
  </si>
  <si>
    <t>吳見置
接管戶4、5(未查明)</t>
    <phoneticPr fontId="1" type="noConversion"/>
  </si>
  <si>
    <t>崩4-5</t>
  </si>
  <si>
    <t>戴榮讓</t>
  </si>
  <si>
    <t>崩4-6</t>
  </si>
  <si>
    <t>陳錦輝</t>
    <phoneticPr fontId="1" type="noConversion"/>
  </si>
  <si>
    <t>陳錦輝是下游右岸高處農地的農民，崩4-7其中一管是要給他的，他從4-6接管會因為水頭不足送不到他的田區，他已經跟地主喬好了，下一期延伸工程可以做這邊(4-7延伸到陳錦輝農地</t>
    <phoneticPr fontId="1" type="noConversion"/>
  </si>
  <si>
    <t>崩4-7</t>
  </si>
  <si>
    <t>陳衍志</t>
    <phoneticPr fontId="1" type="noConversion"/>
  </si>
  <si>
    <t>陳衍志現在接的是本來要預留給下游左岸高處農地的陳福班長用的位置，但陳福覺得年紀大了再做沒幾年所以不想接，陳衍志正常應該要接崩4-6的位置才對</t>
    <phoneticPr fontId="1" type="noConversion"/>
  </si>
  <si>
    <t>崩W5</t>
    <phoneticPr fontId="1" type="noConversion"/>
  </si>
  <si>
    <t>崩B5</t>
    <phoneticPr fontId="1" type="noConversion"/>
  </si>
  <si>
    <t>崩5-1</t>
    <phoneticPr fontId="1" type="noConversion"/>
  </si>
  <si>
    <t>剛做好</t>
    <phoneticPr fontId="1" type="noConversion"/>
  </si>
  <si>
    <t>崩5-2</t>
  </si>
  <si>
    <t>崩5-3</t>
  </si>
  <si>
    <t>崩5-4</t>
  </si>
  <si>
    <t>崩W6</t>
    <phoneticPr fontId="1" type="noConversion"/>
  </si>
  <si>
    <t>崩B6</t>
    <phoneticPr fontId="1" type="noConversion"/>
  </si>
  <si>
    <t>崩6-1</t>
    <phoneticPr fontId="1" type="noConversion"/>
  </si>
  <si>
    <t>崩6-2</t>
  </si>
  <si>
    <t>崩6-3</t>
  </si>
  <si>
    <t>崩6-4</t>
  </si>
  <si>
    <t>崩6-5</t>
  </si>
  <si>
    <t>崩6-6</t>
  </si>
  <si>
    <t>觀音坑溪</t>
    <phoneticPr fontId="1" type="noConversion"/>
  </si>
  <si>
    <t>觀W1</t>
    <phoneticPr fontId="1" type="noConversion"/>
  </si>
  <si>
    <t>觀1-1</t>
    <phoneticPr fontId="1" type="noConversion"/>
  </si>
  <si>
    <r>
      <t>陳明華</t>
    </r>
    <r>
      <rPr>
        <sz val="12"/>
        <color rgb="FF000000"/>
        <rFont val="Times New Roman"/>
        <family val="1"/>
      </rPr>
      <t>(</t>
    </r>
    <r>
      <rPr>
        <sz val="12"/>
        <color rgb="FF000000"/>
        <rFont val="標楷體"/>
        <family val="4"/>
        <charset val="136"/>
      </rPr>
      <t>已預約</t>
    </r>
    <r>
      <rPr>
        <sz val="12"/>
        <color rgb="FF000000"/>
        <rFont val="Times New Roman"/>
        <family val="1"/>
      </rPr>
      <t>)</t>
    </r>
  </si>
  <si>
    <t>觀1-2</t>
    <phoneticPr fontId="1" type="noConversion"/>
  </si>
  <si>
    <r>
      <t>林青豊</t>
    </r>
    <r>
      <rPr>
        <sz val="12"/>
        <color rgb="FF000000"/>
        <rFont val="Times New Roman"/>
        <family val="1"/>
      </rPr>
      <t>(</t>
    </r>
    <r>
      <rPr>
        <sz val="12"/>
        <color rgb="FF000000"/>
        <rFont val="標楷體"/>
        <family val="4"/>
        <charset val="136"/>
      </rPr>
      <t>已預約</t>
    </r>
    <r>
      <rPr>
        <sz val="12"/>
        <color rgb="FF000000"/>
        <rFont val="Times New Roman"/>
        <family val="1"/>
      </rPr>
      <t>)</t>
    </r>
  </si>
  <si>
    <t>五股坑溪</t>
    <phoneticPr fontId="1" type="noConversion"/>
  </si>
  <si>
    <t>五W1</t>
    <phoneticPr fontId="1" type="noConversion"/>
  </si>
  <si>
    <t>五1-1</t>
    <phoneticPr fontId="1" type="noConversion"/>
  </si>
  <si>
    <t>陳文章</t>
  </si>
  <si>
    <t>五1-2</t>
  </si>
  <si>
    <r>
      <t>接管戶</t>
    </r>
    <r>
      <rPr>
        <sz val="12"/>
        <color rgb="FF000000"/>
        <rFont val="Times New Roman"/>
        <family val="1"/>
      </rPr>
      <t>9</t>
    </r>
  </si>
  <si>
    <t>五1-3</t>
  </si>
  <si>
    <t>中W1、中W2、中W3</t>
    <phoneticPr fontId="1" type="noConversion"/>
  </si>
  <si>
    <t>中W3、中W4</t>
    <phoneticPr fontId="1" type="noConversion"/>
  </si>
  <si>
    <t>中B4</t>
    <phoneticPr fontId="1" type="noConversion"/>
  </si>
  <si>
    <t>中B1、中B4</t>
    <phoneticPr fontId="1" type="noConversion"/>
  </si>
  <si>
    <t>崩B1</t>
    <phoneticPr fontId="1" type="noConversion"/>
  </si>
  <si>
    <t>崩4-6~崩4-8</t>
    <phoneticPr fontId="1" type="noConversion"/>
  </si>
  <si>
    <t>崩B6(已通知改善5/9前改善完成)</t>
    <phoneticPr fontId="1" type="noConversion"/>
  </si>
  <si>
    <t>崩B5(已通知改善5/9前改善完成)</t>
    <phoneticPr fontId="1" type="noConversion"/>
  </si>
  <si>
    <t>口徑/尺寸</t>
    <phoneticPr fontId="1" type="noConversion"/>
  </si>
  <si>
    <r>
      <rPr>
        <sz val="20"/>
        <color theme="1"/>
        <rFont val="標楷體"/>
        <family val="4"/>
        <charset val="136"/>
      </rPr>
      <t>中</t>
    </r>
    <r>
      <rPr>
        <sz val="20"/>
        <color theme="1"/>
        <rFont val="Times New Roman"/>
        <family val="1"/>
      </rPr>
      <t>W1</t>
    </r>
    <phoneticPr fontId="1" type="noConversion"/>
  </si>
  <si>
    <r>
      <rPr>
        <sz val="20"/>
        <color theme="1"/>
        <rFont val="Microsoft JhengHei"/>
        <family val="1"/>
      </rPr>
      <t>上</t>
    </r>
    <r>
      <rPr>
        <sz val="20"/>
        <color theme="1"/>
        <rFont val="細明體"/>
        <family val="1"/>
        <charset val="136"/>
      </rPr>
      <t>出4</t>
    </r>
    <r>
      <rPr>
        <sz val="20"/>
        <color theme="1"/>
        <rFont val="Times New Roman"/>
        <family val="1"/>
      </rPr>
      <t>"(</t>
    </r>
    <r>
      <rPr>
        <sz val="20"/>
        <color theme="1"/>
        <rFont val="細明體"/>
        <family val="1"/>
        <charset val="136"/>
      </rPr>
      <t>盲</t>
    </r>
    <r>
      <rPr>
        <sz val="20"/>
        <color theme="1"/>
        <rFont val="Times New Roman"/>
        <family val="1"/>
      </rPr>
      <t>)+</t>
    </r>
    <r>
      <rPr>
        <sz val="20"/>
        <color theme="1"/>
        <rFont val="Microsoft JhengHei"/>
        <family val="1"/>
      </rPr>
      <t>下出</t>
    </r>
    <r>
      <rPr>
        <sz val="20"/>
        <color theme="1"/>
        <rFont val="Times New Roman"/>
        <family val="1"/>
      </rPr>
      <t>2"(</t>
    </r>
    <r>
      <rPr>
        <sz val="20"/>
        <color theme="1"/>
        <rFont val="Microsoft JhengHei"/>
        <family val="1"/>
      </rPr>
      <t>接</t>
    </r>
    <r>
      <rPr>
        <sz val="20"/>
        <color theme="1"/>
        <rFont val="Times New Roman"/>
        <family val="1"/>
      </rPr>
      <t>)</t>
    </r>
    <r>
      <rPr>
        <sz val="20"/>
        <color theme="1"/>
        <rFont val="細明體"/>
        <family val="1"/>
        <charset val="136"/>
      </rPr>
      <t>、</t>
    </r>
    <r>
      <rPr>
        <sz val="20"/>
        <color theme="1"/>
        <rFont val="Microsoft JhengHei"/>
        <family val="1"/>
      </rPr>
      <t>排4"</t>
    </r>
    <phoneticPr fontId="1" type="noConversion"/>
  </si>
  <si>
    <r>
      <rPr>
        <sz val="20"/>
        <color theme="1"/>
        <rFont val="標楷體"/>
        <family val="4"/>
        <charset val="136"/>
      </rPr>
      <t>中</t>
    </r>
    <r>
      <rPr>
        <sz val="20"/>
        <color theme="1"/>
        <rFont val="Times New Roman"/>
        <family val="1"/>
      </rPr>
      <t>B1</t>
    </r>
  </si>
  <si>
    <r>
      <rPr>
        <sz val="20"/>
        <color theme="1"/>
        <rFont val="標楷體"/>
        <family val="4"/>
        <charset val="136"/>
      </rPr>
      <t>中</t>
    </r>
    <r>
      <rPr>
        <sz val="20"/>
        <color theme="1"/>
        <rFont val="Times New Roman"/>
        <family val="1"/>
      </rPr>
      <t>1-1</t>
    </r>
    <phoneticPr fontId="1" type="noConversion"/>
  </si>
  <si>
    <r>
      <t>2"-6</t>
    </r>
    <r>
      <rPr>
        <sz val="20"/>
        <color theme="1"/>
        <rFont val="Microsoft JhengHei"/>
        <family val="4"/>
      </rPr>
      <t>分</t>
    </r>
    <r>
      <rPr>
        <sz val="20"/>
        <color theme="1"/>
        <rFont val="Times New Roman"/>
        <family val="4"/>
      </rPr>
      <t>*4</t>
    </r>
    <phoneticPr fontId="1" type="noConversion"/>
  </si>
  <si>
    <t>備註</t>
  </si>
  <si>
    <t>97_x</t>
    <phoneticPr fontId="1" type="noConversion"/>
  </si>
  <si>
    <t>97_y</t>
    <phoneticPr fontId="1" type="noConversion"/>
  </si>
  <si>
    <t> 292098</t>
    <phoneticPr fontId="1" type="noConversion"/>
  </si>
  <si>
    <t> 2779251</t>
    <phoneticPr fontId="1" type="noConversion"/>
  </si>
  <si>
    <t> 292180</t>
    <phoneticPr fontId="1" type="noConversion"/>
  </si>
  <si>
    <t> 292517</t>
    <phoneticPr fontId="1" type="noConversion"/>
  </si>
  <si>
    <t> 292527</t>
    <phoneticPr fontId="1" type="noConversion"/>
  </si>
  <si>
    <t> 292670</t>
    <phoneticPr fontId="1" type="noConversion"/>
  </si>
  <si>
    <t> 292620</t>
    <phoneticPr fontId="1" type="noConversion"/>
  </si>
  <si>
    <t> 2778789</t>
    <phoneticPr fontId="1" type="noConversion"/>
  </si>
  <si>
    <t> 292733</t>
    <phoneticPr fontId="1" type="noConversion"/>
  </si>
  <si>
    <t> 2778613</t>
    <phoneticPr fontId="1" type="noConversion"/>
  </si>
  <si>
    <t>分接管(內部統計)</t>
    <phoneticPr fontId="1" type="noConversion"/>
  </si>
  <si>
    <r>
      <t>6(</t>
    </r>
    <r>
      <rPr>
        <sz val="20"/>
        <color theme="1"/>
        <rFont val="標楷體"/>
        <family val="4"/>
        <charset val="136"/>
      </rPr>
      <t>可接管</t>
    </r>
    <r>
      <rPr>
        <sz val="20"/>
        <color theme="1"/>
        <rFont val="Times New Roman"/>
        <family val="1"/>
      </rPr>
      <t>)+2(</t>
    </r>
    <r>
      <rPr>
        <sz val="20"/>
        <color theme="1"/>
        <rFont val="標楷體"/>
        <family val="4"/>
        <charset val="136"/>
      </rPr>
      <t>預留</t>
    </r>
    <r>
      <rPr>
        <sz val="20"/>
        <color theme="1"/>
        <rFont val="Times New Roman"/>
        <family val="1"/>
      </rPr>
      <t>)</t>
    </r>
    <r>
      <rPr>
        <sz val="20"/>
        <color theme="1"/>
        <rFont val="新細明體"/>
        <family val="1"/>
        <charset val="136"/>
      </rPr>
      <t>、</t>
    </r>
    <r>
      <rPr>
        <sz val="20"/>
        <color theme="1"/>
        <rFont val="Microsoft JhengHei"/>
        <family val="1"/>
      </rPr>
      <t>詢問</t>
    </r>
    <r>
      <rPr>
        <sz val="20"/>
        <color theme="1"/>
        <rFont val="新細明體"/>
        <family val="1"/>
        <charset val="136"/>
      </rPr>
      <t>陳茂雄</t>
    </r>
    <r>
      <rPr>
        <sz val="20"/>
        <color theme="1"/>
        <rFont val="Microsoft JhengHei"/>
        <family val="1"/>
      </rPr>
      <t>為何不接</t>
    </r>
    <phoneticPr fontId="1" type="noConversion"/>
  </si>
  <si>
    <r>
      <t>4(</t>
    </r>
    <r>
      <rPr>
        <sz val="20"/>
        <color theme="1"/>
        <rFont val="標楷體"/>
        <family val="4"/>
        <charset val="136"/>
      </rPr>
      <t>可接管</t>
    </r>
    <r>
      <rPr>
        <sz val="20"/>
        <color theme="1"/>
        <rFont val="Times New Roman"/>
        <family val="1"/>
      </rPr>
      <t>)+2(</t>
    </r>
    <r>
      <rPr>
        <sz val="20"/>
        <color theme="1"/>
        <rFont val="標楷體"/>
        <family val="4"/>
        <charset val="136"/>
      </rPr>
      <t>預留</t>
    </r>
    <r>
      <rPr>
        <sz val="20"/>
        <color theme="1"/>
        <rFont val="Times New Roman"/>
        <family val="1"/>
      </rPr>
      <t>)</t>
    </r>
    <phoneticPr fontId="1" type="noConversion"/>
  </si>
  <si>
    <t>6+4</t>
    <phoneticPr fontId="1" type="noConversion"/>
  </si>
  <si>
    <r>
      <t>6(</t>
    </r>
    <r>
      <rPr>
        <sz val="20"/>
        <color theme="1"/>
        <rFont val="標楷體"/>
        <family val="4"/>
        <charset val="136"/>
      </rPr>
      <t>可接管</t>
    </r>
    <r>
      <rPr>
        <sz val="20"/>
        <color theme="1"/>
        <rFont val="Times New Roman"/>
        <family val="1"/>
      </rPr>
      <t>)+4(</t>
    </r>
    <r>
      <rPr>
        <sz val="20"/>
        <color theme="1"/>
        <rFont val="標楷體"/>
        <family val="4"/>
        <charset val="136"/>
      </rPr>
      <t>預留</t>
    </r>
    <r>
      <rPr>
        <sz val="20"/>
        <color theme="1"/>
        <rFont val="Times New Roman"/>
        <family val="1"/>
      </rPr>
      <t>)</t>
    </r>
    <phoneticPr fontId="1" type="noConversion"/>
  </si>
  <si>
    <t>3+1</t>
    <phoneticPr fontId="1" type="noConversion"/>
  </si>
  <si>
    <r>
      <t>3(</t>
    </r>
    <r>
      <rPr>
        <sz val="20"/>
        <color theme="1"/>
        <rFont val="標楷體"/>
        <family val="4"/>
        <charset val="136"/>
      </rPr>
      <t>可接管</t>
    </r>
    <r>
      <rPr>
        <sz val="20"/>
        <color theme="1"/>
        <rFont val="Times New Roman"/>
        <family val="1"/>
      </rPr>
      <t>)+1(</t>
    </r>
    <r>
      <rPr>
        <sz val="20"/>
        <color theme="1"/>
        <rFont val="標楷體"/>
        <family val="4"/>
        <charset val="136"/>
      </rPr>
      <t>預留</t>
    </r>
    <r>
      <rPr>
        <sz val="20"/>
        <color theme="1"/>
        <rFont val="Times New Roman"/>
        <family val="1"/>
      </rPr>
      <t>)</t>
    </r>
    <phoneticPr fontId="1" type="noConversion"/>
  </si>
  <si>
    <t>現行狀況</t>
    <phoneticPr fontId="1" type="noConversion"/>
  </si>
  <si>
    <t>位置(中直坑)</t>
    <phoneticPr fontId="1" type="noConversion"/>
  </si>
  <si>
    <t>位置(崩山坑)</t>
    <phoneticPr fontId="1" type="noConversion"/>
  </si>
  <si>
    <t>操作便利</t>
    <phoneticPr fontId="1" type="noConversion"/>
  </si>
  <si>
    <t>損壞修復</t>
    <phoneticPr fontId="1" type="noConversion"/>
  </si>
  <si>
    <t>安全防護</t>
    <phoneticPr fontId="1" type="noConversion"/>
  </si>
  <si>
    <t>結構改善</t>
    <phoneticPr fontId="1" type="noConversion"/>
  </si>
  <si>
    <t>陳衍至錯接崩4-7</t>
    <phoneticPr fontId="1" type="noConversion"/>
  </si>
  <si>
    <t>由崩4-7接管至陳錦輝堂哥農地</t>
  </si>
  <si>
    <t>取崩1-2溢流水接至九天玄女宮</t>
    <phoneticPr fontId="1" type="noConversion"/>
  </si>
  <si>
    <t>取崩B2溢流水串接崩B3(跨區調度)</t>
    <phoneticPr fontId="1" type="noConversion"/>
  </si>
  <si>
    <t>中W2溢流水串接至中B4，再將中B4與溢流水往下游送</t>
    <phoneticPr fontId="1" type="noConversion"/>
  </si>
  <si>
    <t>應接回崩4-6</t>
  </si>
  <si>
    <t>延管工程</t>
    <phoneticPr fontId="1" type="noConversion"/>
  </si>
  <si>
    <t>維護宣導</t>
    <phoneticPr fontId="1" type="noConversion"/>
  </si>
  <si>
    <t>規劃管理</t>
    <phoneticPr fontId="1" type="noConversion"/>
  </si>
  <si>
    <t>非常流水的緣故，中B5接管率不佳</t>
    <phoneticPr fontId="1" type="noConversion"/>
  </si>
  <si>
    <t>2"</t>
    <phoneticPr fontId="1" type="noConversion"/>
  </si>
  <si>
    <t>3"-&gt;3/4"</t>
    <phoneticPr fontId="1" type="noConversion"/>
  </si>
  <si>
    <t>3"</t>
    <phoneticPr fontId="1" type="noConversion"/>
  </si>
  <si>
    <t>1"</t>
    <phoneticPr fontId="1" type="noConversion"/>
  </si>
  <si>
    <t>3/4"</t>
    <phoneticPr fontId="1" type="noConversion"/>
  </si>
  <si>
    <t>4"+2"</t>
    <phoneticPr fontId="1" type="noConversion"/>
  </si>
  <si>
    <t>2"-&gt;3/4"</t>
    <phoneticPr fontId="1" type="noConversion"/>
  </si>
  <si>
    <t>2"-&gt; 1"</t>
    <phoneticPr fontId="1" type="noConversion"/>
  </si>
  <si>
    <t>1"-&gt;3/4"</t>
    <phoneticPr fontId="1" type="noConversion"/>
  </si>
  <si>
    <t>2"-&gt; 3/4"</t>
    <phoneticPr fontId="1" type="noConversion"/>
  </si>
  <si>
    <t>2"-&gt; 1.5"</t>
    <phoneticPr fontId="1" type="noConversion"/>
  </si>
  <si>
    <t>3"+2"</t>
    <phoneticPr fontId="1" type="noConversion"/>
  </si>
  <si>
    <t>3"-&gt;2"</t>
    <phoneticPr fontId="1" type="noConversion"/>
  </si>
  <si>
    <t xml:space="preserve">1.5"-&gt;3/4" </t>
    <phoneticPr fontId="1" type="noConversion"/>
  </si>
  <si>
    <t>分區</t>
    <phoneticPr fontId="1" type="noConversion"/>
  </si>
  <si>
    <t>姓名</t>
    <phoneticPr fontId="1" type="noConversion"/>
  </si>
  <si>
    <t>灌溉</t>
    <phoneticPr fontId="1" type="noConversion"/>
  </si>
  <si>
    <t>水源</t>
    <phoneticPr fontId="1" type="noConversion"/>
  </si>
  <si>
    <t>重力/動力</t>
    <phoneticPr fontId="1" type="noConversion"/>
  </si>
  <si>
    <t>聯絡方式</t>
    <phoneticPr fontId="1" type="noConversion"/>
  </si>
  <si>
    <t>備註</t>
    <phoneticPr fontId="1" type="noConversion"/>
  </si>
  <si>
    <t>中直坑</t>
    <phoneticPr fontId="1" type="noConversion"/>
  </si>
  <si>
    <t>陳慶華</t>
    <phoneticPr fontId="1" type="noConversion"/>
  </si>
  <si>
    <t>有</t>
    <phoneticPr fontId="1" type="noConversion"/>
  </si>
  <si>
    <t>坑溝</t>
    <phoneticPr fontId="1" type="noConversion"/>
  </si>
  <si>
    <t>重力</t>
    <phoneticPr fontId="1" type="noConversion"/>
  </si>
  <si>
    <t>中W1~W3在慶華大哥家後面，109~113年度中直坑坑溝取水及智慧灌溉配合人。</t>
    <phoneticPr fontId="1" type="noConversion"/>
  </si>
  <si>
    <t>陳根永</t>
    <phoneticPr fontId="1" type="noConversion"/>
  </si>
  <si>
    <t>動力抽水</t>
    <phoneticPr fontId="1" type="noConversion"/>
  </si>
  <si>
    <t>W5 末端、凌雲路三段及中直路交叉口巷子內、崩山坑及中直坑下游協助推動的人。</t>
    <phoneticPr fontId="1" type="noConversion"/>
  </si>
  <si>
    <t>廖正陽</t>
    <phoneticPr fontId="1" type="noConversion"/>
  </si>
  <si>
    <t>中直路這一帶的班長，不在設施受益範圍內</t>
    <phoneticPr fontId="1" type="noConversion"/>
  </si>
  <si>
    <t>坑溝、帆布蓄水</t>
    <phoneticPr fontId="1" type="noConversion"/>
  </si>
  <si>
    <t>重力&amp;動力抽水</t>
    <phoneticPr fontId="1" type="noConversion"/>
  </si>
  <si>
    <t>0928201293</t>
    <phoneticPr fontId="1" type="noConversion"/>
  </si>
  <si>
    <t>中W5旁的接管農民，認同擴大灌溉服務，有申請過田間管路補助</t>
    <phoneticPr fontId="1" type="noConversion"/>
  </si>
  <si>
    <t>林國明</t>
    <phoneticPr fontId="1" type="noConversion"/>
  </si>
  <si>
    <t>坑溝、水井</t>
    <phoneticPr fontId="1" type="noConversion"/>
  </si>
  <si>
    <t>林國順的弟弟，中W4接管戶</t>
    <phoneticPr fontId="1" type="noConversion"/>
  </si>
  <si>
    <t>林世文</t>
    <phoneticPr fontId="1" type="noConversion"/>
  </si>
  <si>
    <t>林國明兒子，中W3接管戶</t>
    <phoneticPr fontId="1" type="noConversion"/>
  </si>
  <si>
    <t>陳玉山</t>
    <phoneticPr fontId="1" type="noConversion"/>
  </si>
  <si>
    <t>沒有資訊</t>
    <phoneticPr fontId="1" type="noConversion"/>
  </si>
  <si>
    <t>農會推舉的五股地區維護管理協助人</t>
    <phoneticPr fontId="1" type="noConversion"/>
  </si>
  <si>
    <t>陳汪鏗</t>
    <phoneticPr fontId="1" type="noConversion"/>
  </si>
  <si>
    <t>代稱：小狗農戶、中W1接管戶、農舍在中W2旁、文傑副座常說的有一對夫妻倆有跟七星道謝，也贊同坑溝取水的就是他們</t>
    <phoneticPr fontId="1" type="noConversion"/>
  </si>
  <si>
    <t>陳志長</t>
    <phoneticPr fontId="1" type="noConversion"/>
  </si>
  <si>
    <t>湧泉</t>
    <phoneticPr fontId="1" type="noConversion"/>
  </si>
  <si>
    <t>不清楚</t>
    <phoneticPr fontId="1" type="noConversion"/>
  </si>
  <si>
    <t>0988761994</t>
    <phoneticPr fontId="1" type="noConversion"/>
  </si>
  <si>
    <t>2年前有提到他老家附近有一處湧泉想改善可供大家使用，但後來聯絡不上，經在地協助打聽好像是打消念頭了</t>
    <phoneticPr fontId="1" type="noConversion"/>
  </si>
  <si>
    <t>易炳南</t>
    <phoneticPr fontId="1" type="noConversion"/>
  </si>
  <si>
    <t>0915802258</t>
    <phoneticPr fontId="1" type="noConversion"/>
  </si>
  <si>
    <t>農地在中直坑溪未來規劃的串聯處附近</t>
    <phoneticPr fontId="1" type="noConversion"/>
  </si>
  <si>
    <t>0912243257</t>
    <phoneticPr fontId="1" type="noConversion"/>
  </si>
  <si>
    <t>中直坑有農地(接中W1水源)、崩山坑是親戚的地他負責耕作照顧(接崩W4水源)</t>
    <phoneticPr fontId="1" type="noConversion"/>
  </si>
  <si>
    <t>崩山坑</t>
    <phoneticPr fontId="1" type="noConversion"/>
  </si>
  <si>
    <t>伍春香</t>
    <phoneticPr fontId="1" type="noConversion"/>
  </si>
  <si>
    <t>崩W1下游農民、主要在幫崩山跟中直坑(九天玄女宮附近的地主代耕農地)</t>
    <phoneticPr fontId="1" type="noConversion"/>
  </si>
  <si>
    <t>黃三珊</t>
    <phoneticPr fontId="1" type="noConversion"/>
  </si>
  <si>
    <t>張海桐</t>
    <phoneticPr fontId="1" type="noConversion"/>
  </si>
  <si>
    <t>崩W3潛在受益戶，他希望崩W2溢流水接到崩W3，這樣他才願意接管</t>
    <phoneticPr fontId="1" type="noConversion"/>
  </si>
  <si>
    <t>陳信夫</t>
    <phoneticPr fontId="1" type="noConversion"/>
  </si>
  <si>
    <t>古厝在崩W4旁、崩山坑溪中上游的主要推動人、年紀大有點重聽、後來比較常找他姪子陳錦盛幫忙</t>
    <phoneticPr fontId="1" type="noConversion"/>
  </si>
  <si>
    <t>陳致逸</t>
    <phoneticPr fontId="1" type="noConversion"/>
  </si>
  <si>
    <t>八里農會、陳信夫的小兒子</t>
    <phoneticPr fontId="1" type="noConversion"/>
  </si>
  <si>
    <t>陳錦盛</t>
    <phoneticPr fontId="1" type="noConversion"/>
  </si>
  <si>
    <t>崩W3接管戶、崩山坑溪主要協助我們推動的人、主動幫忙維護管理崩W3、資誠影片有找他訪談</t>
    <phoneticPr fontId="1" type="noConversion"/>
  </si>
  <si>
    <t>崩W4土地公廟下游潛在延伸用戶、農地在崩山坑溪下游右岸、他已經跟地主喬好了，希望七星可以沿管到他那邊，並幫忙放一顆蓄水池</t>
    <phoneticPr fontId="1" type="noConversion"/>
  </si>
  <si>
    <t>李曜文</t>
    <phoneticPr fontId="1" type="noConversion"/>
  </si>
  <si>
    <t>林研熙</t>
    <phoneticPr fontId="1" type="noConversion"/>
  </si>
  <si>
    <t>崩W1下游農民，農地是地主租給他們耕作的，有在崩B1-2接管</t>
    <phoneticPr fontId="1" type="noConversion"/>
  </si>
  <si>
    <t>陳福</t>
    <phoneticPr fontId="1" type="noConversion"/>
  </si>
  <si>
    <t>看天</t>
    <phoneticPr fontId="1" type="noConversion"/>
  </si>
  <si>
    <t>崩山坑的前班長，農地在崩山坑溪下游左岸，崩W4有一管預留要延伸給他，但他興致缺缺</t>
    <phoneticPr fontId="1" type="noConversion"/>
  </si>
  <si>
    <t>戴榮讓</t>
    <phoneticPr fontId="1" type="noConversion"/>
  </si>
  <si>
    <t>崩W4接管戶之一，有在崩山土地公廟上游鐵皮屋旁分一管給他接，農會代表</t>
    <phoneticPr fontId="1" type="noConversion"/>
  </si>
  <si>
    <t>陳永輝</t>
    <phoneticPr fontId="1" type="noConversion"/>
  </si>
  <si>
    <t>崩W4接管戶之一，有在崩山土地公廟上游不遠處的公廟後方分一管給他接</t>
    <phoneticPr fontId="1" type="noConversion"/>
  </si>
  <si>
    <t>無動力揚水配合人、土地是陳文章的(天山鄉土雞城老闆0937983076，他跟五股坑溪的鄰長同名、但不同人)</t>
    <phoneticPr fontId="1" type="noConversion"/>
  </si>
  <si>
    <t>陳信元</t>
    <phoneticPr fontId="1" type="noConversion"/>
  </si>
  <si>
    <t>觀音坑</t>
    <phoneticPr fontId="1" type="noConversion"/>
  </si>
  <si>
    <t>林青豊</t>
    <phoneticPr fontId="1" type="noConversion"/>
  </si>
  <si>
    <t>0939943890</t>
  </si>
  <si>
    <t>觀W1潛在受益戶，農地是375的租地</t>
    <phoneticPr fontId="1" type="noConversion"/>
  </si>
  <si>
    <t>楊明樺</t>
    <phoneticPr fontId="1" type="noConversion"/>
  </si>
  <si>
    <t>0939506725</t>
  </si>
  <si>
    <t>凌雲寺下游農地，訪談時表示這邊都老人了沒有人要接手，再做也沒幾年，不建議投入資源再這附近，之前楊海塗來推農村再生時這一代農民也都興致缺缺</t>
    <phoneticPr fontId="1" type="noConversion"/>
  </si>
  <si>
    <t>五股坑</t>
    <phoneticPr fontId="1" type="noConversion"/>
  </si>
  <si>
    <t>陳文章</t>
    <phoneticPr fontId="1" type="noConversion"/>
  </si>
  <si>
    <t>0920422052</t>
  </si>
  <si>
    <t>五股坑溪第一座坑溝取水示範區，五龍里14鄰鄰長</t>
    <phoneticPr fontId="1" type="noConversion"/>
  </si>
  <si>
    <t>0920-422-052</t>
    <phoneticPr fontId="1" type="noConversion"/>
  </si>
  <si>
    <t>02-22938692</t>
    <phoneticPr fontId="1" type="noConversion"/>
  </si>
  <si>
    <t>陳伯凱</t>
  </si>
  <si>
    <t>坑溝、湧泉</t>
    <phoneticPr fontId="1" type="noConversion"/>
  </si>
  <si>
    <t>0910127865</t>
    <phoneticPr fontId="1" type="noConversion"/>
  </si>
  <si>
    <t>五股坑溪上游青農，家</t>
    <phoneticPr fontId="1" type="noConversion"/>
  </si>
  <si>
    <t>陳燕山</t>
    <phoneticPr fontId="1" type="noConversion"/>
  </si>
  <si>
    <t>0916039288</t>
  </si>
  <si>
    <t>五龍里里長、他覺得坑溝取水設施對這邊幫助不大，但要推他不反對，沒有很想幫忙，只叫我們去找陳文章鄰長</t>
    <phoneticPr fontId="1" type="noConversion"/>
  </si>
  <si>
    <t>壟鉤坑</t>
    <phoneticPr fontId="1" type="noConversion"/>
  </si>
  <si>
    <t>陳宏基</t>
    <phoneticPr fontId="1" type="noConversion"/>
  </si>
  <si>
    <t>湧泉取水、水源在私有地，是祖先與地主口頭談好使用至今，有自己的田間管路、對智慧灌溉有興趣</t>
    <phoneticPr fontId="1" type="noConversion"/>
  </si>
  <si>
    <t>張朴仁</t>
  </si>
  <si>
    <t>0933050925</t>
  </si>
  <si>
    <t>張國炎</t>
  </si>
  <si>
    <t>太久忘了</t>
    <phoneticPr fontId="1" type="noConversion"/>
  </si>
  <si>
    <t>0989996582</t>
  </si>
  <si>
    <t>五股農會現任理事長</t>
    <phoneticPr fontId="1" type="noConversion"/>
  </si>
  <si>
    <t>御史坑</t>
    <phoneticPr fontId="1" type="noConversion"/>
  </si>
  <si>
    <t>涂泰郎</t>
    <phoneticPr fontId="1" type="noConversion"/>
  </si>
  <si>
    <t>湧泉、水井</t>
    <phoneticPr fontId="1" type="noConversion"/>
  </si>
  <si>
    <t>御史坑中游農民，有在私有湧泉接管灌溉</t>
    <phoneticPr fontId="1" type="noConversion"/>
  </si>
  <si>
    <t>葉義雄</t>
    <phoneticPr fontId="1" type="noConversion"/>
  </si>
  <si>
    <t>水井</t>
    <phoneticPr fontId="1" type="noConversion"/>
  </si>
  <si>
    <t>御史坑上游農民，自農地旁水井抽水灌溉</t>
    <phoneticPr fontId="1" type="noConversion"/>
  </si>
  <si>
    <t>鄭義信</t>
    <phoneticPr fontId="1" type="noConversion"/>
  </si>
  <si>
    <t>太久沒聯絡忘記了，只記得在御史路上</t>
    <phoneticPr fontId="1" type="noConversion"/>
  </si>
  <si>
    <t>陳永堅</t>
    <phoneticPr fontId="1" type="noConversion"/>
  </si>
  <si>
    <t>林炳祥</t>
  </si>
  <si>
    <t>雨水儲留</t>
    <phoneticPr fontId="1" type="noConversion"/>
  </si>
  <si>
    <t>0936137606</t>
  </si>
  <si>
    <t>御史坑下游南側農民，農地在稜線上沒有水源只能靠雨水儲留跟看天</t>
    <phoneticPr fontId="1" type="noConversion"/>
  </si>
  <si>
    <t>許水泉</t>
  </si>
  <si>
    <t>0936156996</t>
  </si>
  <si>
    <t>御史坑下游北側農民，農地在稜線上沒有水源只能靠雨水儲留跟看天</t>
    <phoneticPr fontId="1" type="noConversion"/>
  </si>
  <si>
    <t>陳林玉雲</t>
    <phoneticPr fontId="1" type="noConversion"/>
  </si>
  <si>
    <t>御史坑下游農民，農地內有湧泉、水井</t>
    <phoneticPr fontId="1" type="noConversion"/>
  </si>
  <si>
    <t>陳振卿</t>
  </si>
  <si>
    <t>御史坑下游農民，從湧泉接管灌溉，不得已時才從御史坑溪下游抽水(水質不好)</t>
    <phoneticPr fontId="1" type="noConversion"/>
  </si>
  <si>
    <t>旗竿湖</t>
    <phoneticPr fontId="1" type="noConversion"/>
  </si>
  <si>
    <t>吳國池</t>
    <phoneticPr fontId="1" type="noConversion"/>
  </si>
  <si>
    <t>埤塘、水井</t>
    <phoneticPr fontId="1" type="noConversion"/>
  </si>
  <si>
    <t>吳澤民</t>
    <phoneticPr fontId="1" type="noConversion"/>
  </si>
  <si>
    <t>吳國池的弟弟，對田間管路有興趣，有自己的噴灌園區</t>
    <phoneticPr fontId="1" type="noConversion"/>
  </si>
  <si>
    <t>吳明順</t>
    <phoneticPr fontId="1" type="noConversion"/>
  </si>
  <si>
    <t>太久沒聯絡忘記了</t>
    <phoneticPr fontId="1" type="noConversion"/>
  </si>
  <si>
    <t>吳永田</t>
    <phoneticPr fontId="1" type="noConversion"/>
  </si>
  <si>
    <t>現在班長、住在旗竿湖旁邊那一間白色屋子裡</t>
    <phoneticPr fontId="1" type="noConversion"/>
  </si>
  <si>
    <t>詹木火</t>
    <phoneticPr fontId="1" type="noConversion"/>
  </si>
  <si>
    <t>吳文棋</t>
  </si>
  <si>
    <t>0926878290</t>
  </si>
  <si>
    <t>御史坑最上游埤塘地主，兩兄弟都願意提供溢流水或埤塘給周遭的人用，但前提是希望能改善埤塘高低差問題並將道路側溝水源截到埤塘內</t>
    <phoneticPr fontId="1" type="noConversion"/>
  </si>
  <si>
    <t>吳煌棋</t>
    <phoneticPr fontId="1" type="noConversion"/>
  </si>
  <si>
    <t>詹舜翔</t>
  </si>
  <si>
    <t>0933751991</t>
  </si>
  <si>
    <t>楊榮祿</t>
  </si>
  <si>
    <t>0933751992</t>
  </si>
  <si>
    <t>林志忠</t>
  </si>
  <si>
    <t>0917878253</t>
  </si>
  <si>
    <t>他老婆帶我們看水源的，他本人沒有出面，那邊水井以民生為主</t>
    <phoneticPr fontId="1" type="noConversion"/>
  </si>
  <si>
    <t>河溝</t>
    <phoneticPr fontId="1" type="noConversion"/>
  </si>
  <si>
    <t>鄭仕揆</t>
    <phoneticPr fontId="1" type="noConversion"/>
  </si>
  <si>
    <t>埤塘、湧泉、水井</t>
    <phoneticPr fontId="1" type="noConversion"/>
  </si>
  <si>
    <t>0932245409</t>
    <phoneticPr fontId="1" type="noConversion"/>
  </si>
  <si>
    <t>水保局早期做的埤塘引水，但分水設施在私有地內且距離公有地跟道路太遠，所以沒人接。
有湧泉、水井等資源願意共享，希望公布來改善大家一起用。</t>
    <phoneticPr fontId="1" type="noConversion"/>
  </si>
  <si>
    <t>外寮</t>
    <phoneticPr fontId="1" type="noConversion"/>
  </si>
  <si>
    <t>林進煙</t>
    <phoneticPr fontId="1" type="noConversion"/>
  </si>
  <si>
    <t>埤塘</t>
    <phoneticPr fontId="1" type="noConversion"/>
  </si>
  <si>
    <t>農會理事、以前的主要聯絡人</t>
    <phoneticPr fontId="1" type="noConversion"/>
  </si>
  <si>
    <t>蔡文亮</t>
    <phoneticPr fontId="1" type="noConversion"/>
  </si>
  <si>
    <t>農會代表、外寮P1埤塘地主之一、現主要聯絡人</t>
    <phoneticPr fontId="1" type="noConversion"/>
  </si>
  <si>
    <t>林美惠</t>
    <phoneticPr fontId="1" type="noConversion"/>
  </si>
  <si>
    <t>前農會推廣部主任、跟其他人在外寮合租土地耕作菜園</t>
    <phoneticPr fontId="1" type="noConversion"/>
  </si>
  <si>
    <t>上游設施</t>
    <phoneticPr fontId="1" type="noConversion"/>
  </si>
  <si>
    <t>下游設施</t>
    <phoneticPr fontId="1" type="noConversion"/>
  </si>
  <si>
    <t>管徑</t>
    <phoneticPr fontId="1" type="noConversion"/>
  </si>
  <si>
    <t>高程差</t>
    <phoneticPr fontId="1" type="noConversion"/>
  </si>
  <si>
    <t>距離</t>
    <phoneticPr fontId="1" type="noConversion"/>
  </si>
  <si>
    <t>支管</t>
    <phoneticPr fontId="1" type="noConversion"/>
  </si>
  <si>
    <t>崩4-2</t>
    <phoneticPr fontId="1" type="noConversion"/>
  </si>
  <si>
    <t>崩4-3</t>
    <phoneticPr fontId="1" type="noConversion"/>
  </si>
  <si>
    <t>崩4-4</t>
    <phoneticPr fontId="1" type="noConversion"/>
  </si>
  <si>
    <t>崩4-5</t>
    <phoneticPr fontId="1" type="noConversion"/>
  </si>
  <si>
    <t>崩4-8</t>
  </si>
  <si>
    <t>崩支5-1</t>
    <phoneticPr fontId="1" type="noConversion"/>
  </si>
  <si>
    <t>崩支5-2</t>
    <phoneticPr fontId="1" type="noConversion"/>
  </si>
  <si>
    <t>崩支5-3</t>
    <phoneticPr fontId="1" type="noConversion"/>
  </si>
  <si>
    <t>崩支6-1</t>
    <phoneticPr fontId="1" type="noConversion"/>
  </si>
  <si>
    <t>崩支6-2</t>
    <phoneticPr fontId="1" type="noConversion"/>
  </si>
  <si>
    <t>崩支6-3</t>
    <phoneticPr fontId="1" type="noConversion"/>
  </si>
  <si>
    <t>崩支6-4</t>
    <phoneticPr fontId="1" type="noConversion"/>
  </si>
  <si>
    <t>中W1、中W2、中W4、中W5</t>
    <phoneticPr fontId="1" type="noConversion"/>
  </si>
  <si>
    <t>崩4-6</t>
    <phoneticPr fontId="1" type="noConversion"/>
  </si>
  <si>
    <t>崩4-7</t>
    <phoneticPr fontId="1" type="noConversion"/>
  </si>
  <si>
    <t>將中B5移置下游並銜接B4溢流水;鋼構橋移至他處或移除</t>
    <phoneticPr fontId="1" type="noConversion"/>
  </si>
  <si>
    <t>中B5及中B5鋼構橋</t>
    <phoneticPr fontId="1" type="noConversion"/>
  </si>
  <si>
    <t>1.出水口過低，淤砂影響
2.現場無接管戶資訊
3.球閥不易開啟
4.取水箱無活動式開孔
5.箱體導水坡面破損</t>
    <phoneticPr fontId="1" type="noConversion"/>
  </si>
  <si>
    <t>1.下管改接上管
2.箱體編號(貼在明顯處，不一定在箱體)
3.把手延伸管
4.修改為活動式
5.將破損處修復</t>
    <phoneticPr fontId="1" type="noConversion"/>
  </si>
  <si>
    <t>1.設置安全扶手</t>
    <phoneticPr fontId="1" type="noConversion"/>
  </si>
  <si>
    <t>1.排砂閥使用之安全性
2.行走動線之安全性</t>
    <phoneticPr fontId="1" type="noConversion"/>
  </si>
  <si>
    <t>1.設置安全扶手
2.設置安全護欄</t>
    <phoneticPr fontId="1" type="noConversion"/>
  </si>
  <si>
    <t>1.出水口過低，淤砂影響
2.取水箱無活動式開孔</t>
    <phoneticPr fontId="1" type="noConversion"/>
  </si>
  <si>
    <t>1.115 5月現場無接管
2.取水箱無活動式開孔</t>
    <phoneticPr fontId="1" type="noConversion"/>
  </si>
  <si>
    <t>1.下管改接上管
2.修改為活動式</t>
    <phoneticPr fontId="1" type="noConversion"/>
  </si>
  <si>
    <t>1.宣導或掛設名牌提供聯絡資訊
2.修改為活動式</t>
    <phoneticPr fontId="1" type="noConversion"/>
  </si>
  <si>
    <t>宣導或掛設名牌提供聯絡資訊</t>
    <phoneticPr fontId="1" type="noConversion"/>
  </si>
  <si>
    <t>請廠商改善</t>
    <phoneticPr fontId="1" type="noConversion"/>
  </si>
  <si>
    <t>請廠商加裝</t>
    <phoneticPr fontId="1" type="noConversion"/>
  </si>
  <si>
    <t>修復破損部分</t>
    <phoneticPr fontId="1" type="noConversion"/>
  </si>
  <si>
    <t>釐清原因，視需求改善</t>
    <phoneticPr fontId="1" type="noConversion"/>
  </si>
  <si>
    <t>1.115 5月現場無接管</t>
    <phoneticPr fontId="1" type="noConversion"/>
  </si>
  <si>
    <t>1.宣導或掛設名牌提供聯絡資訊</t>
    <phoneticPr fontId="1" type="noConversion"/>
  </si>
  <si>
    <t>1.出水口過低，淤砂影響
2.取水箱難以到達</t>
    <phoneticPr fontId="1" type="noConversion"/>
  </si>
  <si>
    <t>1.取水箱無活動式開孔
2.取水箱難以到達</t>
    <phoneticPr fontId="1" type="noConversion"/>
  </si>
  <si>
    <t>1.下管改接上管
2.設置塑膠包覆踏接或活動爬梯</t>
    <phoneticPr fontId="1" type="noConversion"/>
  </si>
  <si>
    <t>1.修改為活動式
2.設置塑膠包覆踏接或活動爬梯</t>
    <phoneticPr fontId="1" type="noConversion"/>
  </si>
  <si>
    <t>1.115 4月現場分水頭斷掉</t>
    <phoneticPr fontId="1" type="noConversion"/>
  </si>
  <si>
    <t>1.釐清原因，視需求改善</t>
    <phoneticPr fontId="1" type="noConversion"/>
  </si>
  <si>
    <t>1.三角架焊接斷裂</t>
    <phoneticPr fontId="1" type="noConversion"/>
  </si>
  <si>
    <t>1.改直立式角鋼</t>
    <phoneticPr fontId="1" type="noConversion"/>
  </si>
  <si>
    <t>設置安全護欄</t>
    <phoneticPr fontId="1" type="noConversion"/>
  </si>
  <si>
    <t>1.分水鞍使用之安全性</t>
    <phoneticPr fontId="1" type="noConversion"/>
  </si>
  <si>
    <t>1.蓄水塔下方無排砂管</t>
    <phoneticPr fontId="1" type="noConversion"/>
  </si>
  <si>
    <t>1.請廠商加裝</t>
    <phoneticPr fontId="1" type="noConversion"/>
  </si>
  <si>
    <t>1.出水管末端排砂管錯接
2.溢流管對衝管線易造成脫落</t>
    <phoneticPr fontId="1" type="noConversion"/>
  </si>
  <si>
    <t>1.請廠商改善
2.裝設斜角彎管避免對衝</t>
    <phoneticPr fontId="1" type="noConversion"/>
  </si>
  <si>
    <t>1.將中B5移置下游並銜接B4溢流水
2.鋼構橋移至他處或移除</t>
    <phoneticPr fontId="1" type="noConversion"/>
  </si>
  <si>
    <t>1.接管率不佳
2.設施荒廢</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</si>
</sst>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新細明體"/>
      <family val="2"/>
      <charset val="136"/>
      <scheme val="minor"/>
    </font>
    <font>
      <sz val="9"/>
      <name val="新細明體"/>
      <family val="2"/>
      <charset val="136"/>
      <scheme val="minor"/>
    </font>
    <font>
      <sz val="20"/>
      <color theme="1"/>
      <name val="Times New Roman"/>
      <family val="1"/>
    </font>
    <font>
      <sz val="20"/>
      <color theme="1"/>
      <name val="標楷體"/>
      <family val="4"/>
      <charset val="136"/>
    </font>
    <font>
      <sz val="20"/>
      <color theme="1"/>
      <name val="Microsoft JhengHei"/>
      <family val="1"/>
    </font>
    <font>
      <sz val="20"/>
      <color theme="1"/>
      <name val="Times New Roman"/>
      <family val="4"/>
      <charset val="136"/>
    </font>
    <font>
      <sz val="20"/>
      <color theme="1"/>
      <name val="Times New Roman"/>
      <family val="4"/>
    </font>
    <font>
      <sz val="20"/>
      <color theme="1"/>
      <name val="Microsoft JhengHei"/>
      <family val="4"/>
    </font>
    <font>
      <sz val="12"/>
      <color theme="1"/>
      <name val="標楷體"/>
      <family val="4"/>
      <charset val="136"/>
    </font>
    <font>
      <b/>
      <sz val="12"/>
      <color theme="1"/>
      <name val="標楷體"/>
      <family val="4"/>
      <charset val="136"/>
    </font>
    <font>
      <sz val="12"/>
      <color rgb="FF000000"/>
      <name val="標楷體"/>
      <family val="4"/>
      <charset val="136"/>
    </font>
    <font>
      <sz val="12"/>
      <color rgb="FF000000"/>
      <name val="Times New Roman"/>
      <family val="1"/>
    </font>
    <font>
      <sz val="20"/>
      <color theme="1"/>
      <name val="細明體"/>
      <family val="1"/>
      <charset val="136"/>
    </font>
    <font>
      <sz val="12"/>
      <color theme="1"/>
      <name val="新細明體"/>
      <family val="2"/>
      <charset val="136"/>
      <scheme val="minor"/>
    </font>
    <font>
      <sz val="20"/>
      <color theme="1"/>
      <name val="新細明體"/>
      <family val="1"/>
      <charset val="136"/>
    </font>
    <font>
      <b/>
      <sz val="12"/>
      <color theme="1"/>
      <name val="微軟正黑體"/>
      <family val="2"/>
      <charset val="136"/>
    </font>
    <font>
      <sz val="12"/>
      <color theme="1"/>
      <name val="微軟正黑體"/>
      <family val="2"/>
      <charset val="136"/>
    </font>
    <font>
      <sz val="12"/>
      <color theme="1"/>
      <name val="微軟正黑體"/>
      <family val="1"/>
      <charset val="136"/>
    </font>
  </fonts>
  <fills count="15">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99FF"/>
        <bgColor indexed="64"/>
      </patternFill>
    </fill>
    <fill>
      <patternFill patternType="solid">
        <fgColor rgb="FFFFFF00"/>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9" fontId="13" fillId="0" borderId="0" applyFont="0" applyFill="0" applyBorder="0" applyAlignment="0" applyProtection="0">
      <alignment vertical="center"/>
    </xf>
  </cellStyleXfs>
  <cellXfs count="107">
    <xf numFmtId="0" fontId="0" fillId="0" borderId="0" xfId="0">
      <alignment vertical="center"/>
    </xf>
    <xf numFmtId="0" fontId="2" fillId="0" borderId="0" xfId="0" applyFont="1">
      <alignment vertical="center"/>
    </xf>
    <xf numFmtId="0" fontId="3" fillId="0" borderId="1" xfId="0" applyFont="1" applyBorder="1" applyAlignment="1">
      <alignment horizontal="center" vertical="center"/>
    </xf>
    <xf numFmtId="0" fontId="0" fillId="0" borderId="0" xfId="0" applyAlignment="1">
      <alignment horizontal="center" vertical="center"/>
    </xf>
    <xf numFmtId="0" fontId="2" fillId="2" borderId="0" xfId="0" applyFont="1" applyFill="1">
      <alignment vertical="center"/>
    </xf>
    <xf numFmtId="0" fontId="8" fillId="0" borderId="0" xfId="0" applyFont="1" applyAlignment="1">
      <alignment horizontal="center" vertical="center"/>
    </xf>
    <xf numFmtId="0" fontId="8" fillId="0" borderId="0" xfId="0" applyFont="1">
      <alignment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10" fillId="3" borderId="1" xfId="0" applyFont="1" applyFill="1" applyBorder="1" applyAlignment="1">
      <alignment horizontal="center" vertical="center"/>
    </xf>
    <xf numFmtId="0" fontId="8" fillId="0" borderId="1" xfId="0" applyFont="1" applyBorder="1" applyAlignment="1">
      <alignment horizontal="center" vertical="center" wrapText="1"/>
    </xf>
    <xf numFmtId="0" fontId="10" fillId="4" borderId="1" xfId="0" applyFont="1" applyFill="1" applyBorder="1" applyAlignment="1">
      <alignment horizontal="center" vertical="center"/>
    </xf>
    <xf numFmtId="0" fontId="10" fillId="0" borderId="0" xfId="0" applyFont="1" applyAlignment="1">
      <alignment horizontal="center" vertical="center" wrapText="1"/>
    </xf>
    <xf numFmtId="0" fontId="8" fillId="0" borderId="0" xfId="0" applyFont="1" applyAlignment="1">
      <alignment horizontal="left" vertical="center"/>
    </xf>
    <xf numFmtId="0" fontId="10" fillId="0" borderId="1" xfId="0" applyFont="1" applyBorder="1" applyAlignment="1">
      <alignment horizontal="center" vertical="center" wrapText="1"/>
    </xf>
    <xf numFmtId="0" fontId="10" fillId="0" borderId="0" xfId="0" applyFont="1" applyAlignment="1">
      <alignment horizontal="center" vertical="center"/>
    </xf>
    <xf numFmtId="0" fontId="2" fillId="3" borderId="1" xfId="0" applyFont="1" applyFill="1" applyBorder="1" applyAlignment="1">
      <alignment horizontal="center" vertical="center"/>
    </xf>
    <xf numFmtId="0" fontId="2" fillId="3" borderId="0" xfId="0" applyFont="1" applyFill="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0" xfId="0" applyFont="1" applyFill="1" applyAlignment="1">
      <alignment horizontal="center" vertical="center"/>
    </xf>
    <xf numFmtId="0" fontId="2" fillId="6" borderId="1" xfId="0" applyFont="1" applyFill="1" applyBorder="1" applyAlignment="1">
      <alignment horizontal="center" vertical="center"/>
    </xf>
    <xf numFmtId="0" fontId="3"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2" fillId="6" borderId="0" xfId="0" applyFont="1" applyFill="1" applyAlignment="1">
      <alignment horizontal="center" vertical="center"/>
    </xf>
    <xf numFmtId="0" fontId="3" fillId="7" borderId="1" xfId="0" applyFont="1" applyFill="1" applyBorder="1" applyAlignment="1">
      <alignment horizontal="center" vertical="center"/>
    </xf>
    <xf numFmtId="0" fontId="2" fillId="7" borderId="1" xfId="0" applyFont="1" applyFill="1" applyBorder="1">
      <alignment vertical="center"/>
    </xf>
    <xf numFmtId="0" fontId="2" fillId="7" borderId="1" xfId="0" applyFont="1" applyFill="1" applyBorder="1" applyAlignment="1">
      <alignment horizontal="center" vertical="center"/>
    </xf>
    <xf numFmtId="0" fontId="2" fillId="7" borderId="0" xfId="0" applyFont="1" applyFill="1">
      <alignment vertical="center"/>
    </xf>
    <xf numFmtId="9" fontId="3" fillId="5" borderId="1" xfId="1" applyFont="1" applyFill="1" applyBorder="1" applyAlignment="1">
      <alignment horizontal="center" vertical="center"/>
    </xf>
    <xf numFmtId="9" fontId="2" fillId="5" borderId="1" xfId="1" applyFont="1" applyFill="1" applyBorder="1" applyAlignment="1">
      <alignment horizontal="center" vertical="center"/>
    </xf>
    <xf numFmtId="9" fontId="2" fillId="5" borderId="0" xfId="1" applyFont="1" applyFill="1" applyAlignment="1">
      <alignment horizontal="center" vertical="center"/>
    </xf>
    <xf numFmtId="0" fontId="2" fillId="3" borderId="0" xfId="0" applyFont="1" applyFill="1">
      <alignment vertical="center"/>
    </xf>
    <xf numFmtId="0" fontId="2" fillId="5" borderId="0" xfId="0" applyFont="1" applyFill="1">
      <alignment vertical="center"/>
    </xf>
    <xf numFmtId="0" fontId="3" fillId="8" borderId="1" xfId="0" applyFont="1" applyFill="1" applyBorder="1" applyAlignment="1">
      <alignment horizontal="center" vertical="center"/>
    </xf>
    <xf numFmtId="0" fontId="2" fillId="8" borderId="0" xfId="0" applyFont="1" applyFill="1">
      <alignment vertical="center"/>
    </xf>
    <xf numFmtId="0" fontId="2" fillId="7" borderId="0" xfId="0" applyFont="1" applyFill="1" applyAlignment="1">
      <alignment horizontal="center" vertical="center"/>
    </xf>
    <xf numFmtId="0" fontId="2" fillId="7" borderId="1" xfId="0" applyFont="1" applyFill="1" applyBorder="1" applyAlignment="1">
      <alignment horizontal="left" vertical="center"/>
    </xf>
    <xf numFmtId="0" fontId="0" fillId="11" borderId="0" xfId="0" applyFill="1">
      <alignment vertical="center"/>
    </xf>
    <xf numFmtId="0" fontId="0" fillId="12" borderId="0" xfId="0" applyFill="1">
      <alignment vertical="center"/>
    </xf>
    <xf numFmtId="0" fontId="0" fillId="7" borderId="0" xfId="0" applyFill="1">
      <alignment vertical="center"/>
    </xf>
    <xf numFmtId="0" fontId="0" fillId="9" borderId="0" xfId="0" applyFill="1">
      <alignment vertical="center"/>
    </xf>
    <xf numFmtId="0" fontId="0" fillId="8" borderId="0" xfId="0" applyFill="1">
      <alignment vertical="center"/>
    </xf>
    <xf numFmtId="0" fontId="0" fillId="10" borderId="0" xfId="0" applyFill="1">
      <alignment vertical="center"/>
    </xf>
    <xf numFmtId="0" fontId="0" fillId="12" borderId="0" xfId="0" applyFill="1" applyAlignment="1">
      <alignment horizontal="center" vertical="center"/>
    </xf>
    <xf numFmtId="0" fontId="0" fillId="7" borderId="0" xfId="0" applyFill="1" applyAlignment="1">
      <alignment horizontal="center" vertical="center"/>
    </xf>
    <xf numFmtId="0" fontId="0" fillId="9" borderId="0" xfId="0" applyFill="1" applyAlignment="1">
      <alignment horizontal="center" vertical="center"/>
    </xf>
    <xf numFmtId="0" fontId="0" fillId="8" borderId="0" xfId="0" applyFill="1" applyAlignment="1">
      <alignment horizontal="center" vertical="center"/>
    </xf>
    <xf numFmtId="0" fontId="0" fillId="10" borderId="0" xfId="0" applyFill="1" applyAlignment="1">
      <alignment horizontal="center" vertical="center"/>
    </xf>
    <xf numFmtId="0" fontId="0" fillId="11" borderId="0" xfId="0" applyFill="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2" xfId="0" applyFont="1" applyFill="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4" borderId="2" xfId="0" applyFont="1" applyFill="1" applyBorder="1" applyAlignment="1">
      <alignment horizontal="center" vertical="center"/>
    </xf>
    <xf numFmtId="0" fontId="10" fillId="4" borderId="4" xfId="0" applyFont="1" applyFill="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3" borderId="2"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3" xfId="0" applyFont="1" applyFill="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0" fontId="16" fillId="0" borderId="0" xfId="0" applyFont="1">
      <alignment vertical="center"/>
    </xf>
    <xf numFmtId="0" fontId="16" fillId="0" borderId="1" xfId="0" applyFont="1" applyBorder="1" applyAlignment="1">
      <alignment horizontal="center" vertical="center"/>
    </xf>
    <xf numFmtId="0" fontId="16" fillId="13" borderId="1" xfId="0" applyFont="1" applyFill="1" applyBorder="1" applyAlignment="1">
      <alignment horizontal="center" vertical="center"/>
    </xf>
    <xf numFmtId="0" fontId="16" fillId="0" borderId="1" xfId="0" applyFont="1" applyBorder="1" applyAlignment="1">
      <alignment horizontal="center" vertical="center"/>
    </xf>
    <xf numFmtId="49" fontId="16" fillId="0" borderId="1" xfId="0" applyNumberFormat="1" applyFont="1" applyBorder="1" applyAlignment="1">
      <alignment horizontal="center" vertical="center"/>
    </xf>
    <xf numFmtId="0" fontId="16" fillId="0" borderId="1" xfId="0" applyFont="1" applyBorder="1" applyAlignment="1">
      <alignment horizontal="left" vertical="center"/>
    </xf>
    <xf numFmtId="0" fontId="16" fillId="0" borderId="0" xfId="0" applyFont="1" applyAlignment="1">
      <alignment horizontal="center" vertical="center"/>
    </xf>
    <xf numFmtId="49" fontId="16" fillId="0" borderId="0" xfId="0" applyNumberFormat="1" applyFont="1" applyAlignment="1">
      <alignment horizontal="center" vertical="center"/>
    </xf>
    <xf numFmtId="0" fontId="16" fillId="0" borderId="0" xfId="0" applyFont="1" applyAlignment="1">
      <alignment horizontal="left" vertical="center"/>
    </xf>
    <xf numFmtId="0" fontId="16" fillId="0" borderId="2" xfId="0" applyFont="1" applyBorder="1" applyAlignment="1">
      <alignment horizontal="center" vertical="center"/>
    </xf>
    <xf numFmtId="0" fontId="17" fillId="0" borderId="1" xfId="0" applyFont="1" applyBorder="1" applyAlignment="1">
      <alignment horizontal="center" vertical="center"/>
    </xf>
    <xf numFmtId="0" fontId="16" fillId="0" borderId="4" xfId="0" applyFont="1" applyBorder="1" applyAlignment="1">
      <alignment horizontal="center" vertical="center"/>
    </xf>
    <xf numFmtId="49" fontId="16" fillId="0" borderId="2" xfId="0" applyNumberFormat="1" applyFont="1" applyBorder="1" applyAlignment="1">
      <alignment horizontal="center" vertical="center"/>
    </xf>
    <xf numFmtId="0" fontId="16" fillId="0" borderId="2" xfId="0" applyFont="1" applyBorder="1" applyAlignment="1">
      <alignment horizontal="left" vertical="center" wrapText="1"/>
    </xf>
    <xf numFmtId="49" fontId="16" fillId="0" borderId="4" xfId="0" applyNumberFormat="1" applyFont="1" applyBorder="1" applyAlignment="1">
      <alignment horizontal="center" vertical="center"/>
    </xf>
    <xf numFmtId="0" fontId="16" fillId="0" borderId="4" xfId="0" applyFont="1" applyBorder="1" applyAlignment="1">
      <alignment horizontal="left" vertical="center" wrapText="1"/>
    </xf>
    <xf numFmtId="0" fontId="16" fillId="0" borderId="1" xfId="0" applyFont="1" applyBorder="1" applyAlignment="1">
      <alignment horizontal="left" vertical="center" wrapText="1"/>
    </xf>
    <xf numFmtId="0" fontId="8" fillId="0" borderId="0" xfId="0" applyFont="1" applyAlignment="1">
      <alignment horizontal="right" vertical="center"/>
    </xf>
    <xf numFmtId="0" fontId="10" fillId="0" borderId="0" xfId="0" applyFont="1" applyAlignment="1">
      <alignment horizontal="right" vertical="center"/>
    </xf>
    <xf numFmtId="0" fontId="8" fillId="0" borderId="0" xfId="0" applyFont="1" applyAlignment="1">
      <alignment horizontal="left" vertical="center"/>
    </xf>
    <xf numFmtId="0" fontId="8" fillId="14" borderId="0" xfId="0" applyFont="1" applyFill="1" applyAlignment="1">
      <alignment horizontal="right" vertical="center"/>
    </xf>
    <xf numFmtId="2" fontId="8" fillId="0" borderId="0" xfId="0" applyNumberFormat="1" applyFont="1" applyAlignment="1">
      <alignment horizontal="right" vertical="center"/>
    </xf>
    <xf numFmtId="0" fontId="8" fillId="4" borderId="0" xfId="0" applyFont="1" applyFill="1" applyAlignment="1">
      <alignment horizontal="left" vertical="center"/>
    </xf>
    <xf numFmtId="0" fontId="3" fillId="8" borderId="1" xfId="0" applyFont="1" applyFill="1" applyBorder="1" applyAlignment="1">
      <alignment vertical="center" wrapText="1"/>
    </xf>
    <xf numFmtId="0" fontId="3" fillId="8" borderId="1" xfId="0" applyFont="1" applyFill="1" applyBorder="1" applyAlignment="1">
      <alignment vertical="center"/>
    </xf>
  </cellXfs>
  <cellStyles count="2">
    <cellStyle name="一般" xfId="0" builtinId="0"/>
    <cellStyle name="百分比" xfId="1" builtinId="5"/>
  </cellStyles>
  <dxfs count="0"/>
  <tableStyles count="0" defaultTableStyle="TableStyleMedium2" defaultPivotStyle="PivotStyleLight16"/>
  <colors>
    <mruColors>
      <color rgb="FFFF99FF"/>
      <color rgb="FFFF66FF"/>
      <color rgb="FFCC66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1723-4B34-4B9B-A5B8-9233C53AAD29}">
  <dimension ref="A1:AL56"/>
  <sheetViews>
    <sheetView tabSelected="1" view="pageBreakPreview" zoomScale="70" zoomScaleNormal="100" zoomScaleSheetLayoutView="70" workbookViewId="0">
      <pane xSplit="4" topLeftCell="R1" activePane="topRight" state="frozen"/>
      <selection pane="topRight" activeCell="U2" sqref="U2"/>
    </sheetView>
  </sheetViews>
  <sheetFormatPr defaultRowHeight="26.25"/>
  <cols>
    <col min="1" max="4" width="16.625" style="27" customWidth="1"/>
    <col min="5" max="5" width="16.125" style="19" customWidth="1"/>
    <col min="6" max="6" width="16.625" style="19" customWidth="1"/>
    <col min="7" max="7" width="16.625" style="27" customWidth="1"/>
    <col min="8" max="8" width="72.75" style="19" customWidth="1"/>
    <col min="9" max="9" width="14.5" style="36" bestFit="1" customWidth="1"/>
    <col min="10" max="11" width="16.625" style="23" customWidth="1"/>
    <col min="12" max="12" width="16.625" style="34" customWidth="1"/>
    <col min="13" max="13" width="48.125" style="39" customWidth="1"/>
    <col min="14" max="14" width="113.875" style="31" customWidth="1"/>
    <col min="15" max="15" width="18.875" style="35" bestFit="1" customWidth="1"/>
    <col min="16" max="16" width="10.5" style="35" bestFit="1" customWidth="1"/>
    <col min="17" max="17" width="16.625" style="19" customWidth="1"/>
    <col min="18" max="18" width="54.5" style="38" customWidth="1"/>
    <col min="19" max="19" width="69.125" style="38" customWidth="1"/>
    <col min="20" max="20" width="10.125" style="1" customWidth="1"/>
    <col min="21" max="21" width="108.25" style="1" customWidth="1"/>
    <col min="22" max="16384" width="9" style="1"/>
  </cols>
  <sheetData>
    <row r="1" spans="1:38" ht="32.1" customHeight="1">
      <c r="A1" s="24" t="s">
        <v>8</v>
      </c>
      <c r="B1" s="25" t="s">
        <v>103</v>
      </c>
      <c r="C1" s="25" t="s">
        <v>104</v>
      </c>
      <c r="D1" s="25" t="s">
        <v>105</v>
      </c>
      <c r="E1" s="24" t="s">
        <v>267</v>
      </c>
      <c r="F1" s="24" t="s">
        <v>268</v>
      </c>
      <c r="G1" s="25" t="s">
        <v>9</v>
      </c>
      <c r="H1" s="21" t="s">
        <v>260</v>
      </c>
      <c r="I1" s="21" t="s">
        <v>152</v>
      </c>
      <c r="J1" s="21" t="s">
        <v>149</v>
      </c>
      <c r="K1" s="21" t="s">
        <v>106</v>
      </c>
      <c r="L1" s="32" t="s">
        <v>163</v>
      </c>
      <c r="M1" s="28" t="s">
        <v>279</v>
      </c>
      <c r="N1" s="28" t="s">
        <v>266</v>
      </c>
      <c r="O1" s="20" t="s">
        <v>151</v>
      </c>
      <c r="P1" s="20" t="s">
        <v>153</v>
      </c>
      <c r="Q1" s="18" t="s">
        <v>10</v>
      </c>
      <c r="R1" s="37" t="s">
        <v>148</v>
      </c>
      <c r="S1" s="37" t="s">
        <v>101</v>
      </c>
      <c r="T1" s="2" t="s">
        <v>102</v>
      </c>
      <c r="U1" s="2" t="s">
        <v>107</v>
      </c>
    </row>
    <row r="2" spans="1:38" ht="138.75">
      <c r="A2" s="56" t="s">
        <v>11</v>
      </c>
      <c r="B2" s="26" t="s">
        <v>261</v>
      </c>
      <c r="C2" s="24"/>
      <c r="D2" s="24"/>
      <c r="E2" s="24">
        <v>292092</v>
      </c>
      <c r="F2" s="24">
        <v>2779339</v>
      </c>
      <c r="G2" s="24">
        <v>183.78</v>
      </c>
      <c r="H2" s="21" t="s">
        <v>262</v>
      </c>
      <c r="I2" s="21"/>
      <c r="J2" s="22"/>
      <c r="K2" s="22" t="s">
        <v>0</v>
      </c>
      <c r="L2" s="33"/>
      <c r="M2" s="30" t="s">
        <v>0</v>
      </c>
      <c r="N2" s="29" t="s">
        <v>13</v>
      </c>
      <c r="O2" s="20"/>
      <c r="P2" s="20"/>
      <c r="Q2" s="18" t="s">
        <v>12</v>
      </c>
      <c r="R2" s="105" t="s">
        <v>491</v>
      </c>
      <c r="S2" s="105" t="s">
        <v>492</v>
      </c>
      <c r="T2" s="2"/>
      <c r="U2" s="2" t="s">
        <v>108</v>
      </c>
    </row>
    <row r="3" spans="1:38" ht="55.5">
      <c r="A3" s="53"/>
      <c r="B3" s="24"/>
      <c r="C3" s="24" t="s">
        <v>263</v>
      </c>
      <c r="D3" s="24"/>
      <c r="E3" s="24">
        <v>292103</v>
      </c>
      <c r="F3" s="24">
        <v>2779324</v>
      </c>
      <c r="G3" s="24">
        <v>179.43</v>
      </c>
      <c r="H3" s="21"/>
      <c r="I3" s="21"/>
      <c r="J3" s="22"/>
      <c r="K3" s="22" t="s">
        <v>0</v>
      </c>
      <c r="L3" s="33"/>
      <c r="M3" s="30" t="s">
        <v>0</v>
      </c>
      <c r="N3" s="29" t="s">
        <v>14</v>
      </c>
      <c r="O3" s="20"/>
      <c r="P3" s="20"/>
      <c r="Q3" s="18" t="s">
        <v>12</v>
      </c>
      <c r="R3" s="105" t="s">
        <v>494</v>
      </c>
      <c r="S3" s="105" t="s">
        <v>495</v>
      </c>
      <c r="T3" s="2"/>
      <c r="U3" s="2"/>
    </row>
    <row r="4" spans="1:38" s="4" customFormat="1" ht="32.1" customHeight="1">
      <c r="A4" s="54"/>
      <c r="B4" s="24"/>
      <c r="C4" s="24"/>
      <c r="D4" s="24" t="s">
        <v>264</v>
      </c>
      <c r="E4" s="24">
        <v>292103</v>
      </c>
      <c r="F4" s="24">
        <v>2779324</v>
      </c>
      <c r="G4" s="24">
        <v>179.19</v>
      </c>
      <c r="H4" s="21" t="s">
        <v>265</v>
      </c>
      <c r="I4" s="21"/>
      <c r="J4" s="22">
        <v>10</v>
      </c>
      <c r="K4" s="22">
        <v>6</v>
      </c>
      <c r="L4" s="33">
        <f>K4/J4</f>
        <v>0.6</v>
      </c>
      <c r="M4" s="30" t="s">
        <v>7</v>
      </c>
      <c r="N4" s="40" t="s">
        <v>15</v>
      </c>
      <c r="O4" s="20"/>
      <c r="P4" s="20"/>
      <c r="Q4" s="18" t="s">
        <v>12</v>
      </c>
      <c r="R4" s="106" t="s">
        <v>505</v>
      </c>
      <c r="S4" s="106" t="s">
        <v>506</v>
      </c>
      <c r="T4" s="2"/>
      <c r="U4" s="2"/>
      <c r="V4" s="1"/>
      <c r="W4" s="1"/>
      <c r="X4" s="1"/>
      <c r="Y4" s="1"/>
      <c r="Z4" s="1"/>
      <c r="AA4" s="1"/>
      <c r="AB4" s="1"/>
      <c r="AC4" s="1"/>
      <c r="AD4" s="1"/>
      <c r="AE4" s="1"/>
      <c r="AF4" s="1"/>
      <c r="AG4" s="1"/>
      <c r="AH4" s="1"/>
      <c r="AI4" s="1"/>
      <c r="AJ4" s="1"/>
      <c r="AK4" s="1"/>
      <c r="AL4" s="1"/>
    </row>
    <row r="5" spans="1:38" ht="55.5">
      <c r="A5" s="56"/>
      <c r="B5" s="24" t="s">
        <v>16</v>
      </c>
      <c r="C5" s="24"/>
      <c r="D5" s="24"/>
      <c r="E5" s="24">
        <v>292073</v>
      </c>
      <c r="F5" s="24">
        <v>2779295</v>
      </c>
      <c r="G5" s="24">
        <v>174.95</v>
      </c>
      <c r="H5" s="21"/>
      <c r="I5" s="21"/>
      <c r="J5" s="22"/>
      <c r="K5" s="22" t="s">
        <v>0</v>
      </c>
      <c r="L5" s="33"/>
      <c r="M5" s="30" t="s">
        <v>0</v>
      </c>
      <c r="N5" s="29" t="s">
        <v>13</v>
      </c>
      <c r="O5" s="20"/>
      <c r="P5" s="20"/>
      <c r="Q5" s="18" t="s">
        <v>17</v>
      </c>
      <c r="R5" s="105" t="s">
        <v>496</v>
      </c>
      <c r="S5" s="105" t="s">
        <v>498</v>
      </c>
      <c r="T5" s="2"/>
      <c r="U5" s="2"/>
    </row>
    <row r="6" spans="1:38" ht="32.1" customHeight="1">
      <c r="A6" s="53"/>
      <c r="B6" s="24"/>
      <c r="C6" s="24" t="s">
        <v>18</v>
      </c>
      <c r="D6" s="24"/>
      <c r="E6" s="24">
        <v>292098</v>
      </c>
      <c r="F6" s="24">
        <v>2779252</v>
      </c>
      <c r="G6" s="24">
        <v>166.25</v>
      </c>
      <c r="H6" s="21"/>
      <c r="I6" s="21"/>
      <c r="J6" s="22"/>
      <c r="K6" s="22" t="s">
        <v>0</v>
      </c>
      <c r="L6" s="33"/>
      <c r="M6" s="30" t="s">
        <v>0</v>
      </c>
      <c r="N6" s="29" t="s">
        <v>19</v>
      </c>
      <c r="O6" s="20"/>
      <c r="P6" s="20"/>
      <c r="Q6" s="18" t="s">
        <v>17</v>
      </c>
      <c r="R6" s="106"/>
      <c r="S6" s="106"/>
      <c r="T6" s="2"/>
      <c r="U6" s="2"/>
    </row>
    <row r="7" spans="1:38" ht="32.1" customHeight="1">
      <c r="A7" s="54"/>
      <c r="B7" s="24"/>
      <c r="C7" s="24"/>
      <c r="D7" s="24" t="s">
        <v>20</v>
      </c>
      <c r="E7" s="24" t="s">
        <v>269</v>
      </c>
      <c r="F7" s="24" t="s">
        <v>270</v>
      </c>
      <c r="G7" s="24">
        <v>166.15</v>
      </c>
      <c r="H7" s="21"/>
      <c r="I7" s="21"/>
      <c r="J7" s="22">
        <v>8</v>
      </c>
      <c r="K7" s="22">
        <v>0</v>
      </c>
      <c r="L7" s="33">
        <f t="shared" ref="L7:L52" si="0">K7/J7</f>
        <v>0</v>
      </c>
      <c r="M7" s="30" t="s">
        <v>6</v>
      </c>
      <c r="N7" s="29" t="s">
        <v>21</v>
      </c>
      <c r="O7" s="20"/>
      <c r="P7" s="20"/>
      <c r="Q7" s="18" t="s">
        <v>17</v>
      </c>
      <c r="R7" s="106"/>
      <c r="S7" s="106"/>
      <c r="T7" s="2"/>
      <c r="U7" s="2"/>
    </row>
    <row r="8" spans="1:38" ht="55.5">
      <c r="A8" s="56"/>
      <c r="B8" s="24" t="s">
        <v>22</v>
      </c>
      <c r="C8" s="24"/>
      <c r="D8" s="24"/>
      <c r="E8" s="24">
        <v>292196</v>
      </c>
      <c r="F8" s="24">
        <v>2779274</v>
      </c>
      <c r="G8" s="24">
        <v>157.75</v>
      </c>
      <c r="H8" s="21"/>
      <c r="I8" s="21"/>
      <c r="J8" s="22"/>
      <c r="K8" s="22" t="s">
        <v>0</v>
      </c>
      <c r="L8" s="33"/>
      <c r="M8" s="30" t="s">
        <v>0</v>
      </c>
      <c r="N8" s="29" t="s">
        <v>23</v>
      </c>
      <c r="O8" s="20"/>
      <c r="P8" s="20"/>
      <c r="Q8" s="18" t="s">
        <v>17</v>
      </c>
      <c r="R8" s="105" t="s">
        <v>507</v>
      </c>
      <c r="S8" s="105" t="s">
        <v>509</v>
      </c>
      <c r="T8" s="2"/>
      <c r="U8" s="2"/>
    </row>
    <row r="9" spans="1:38" ht="32.1" customHeight="1">
      <c r="A9" s="53"/>
      <c r="B9" s="24"/>
      <c r="C9" s="24" t="s">
        <v>24</v>
      </c>
      <c r="D9" s="24"/>
      <c r="E9" s="24">
        <v>292181</v>
      </c>
      <c r="F9" s="24">
        <v>2779210</v>
      </c>
      <c r="G9" s="24">
        <v>152.08000000000001</v>
      </c>
      <c r="H9" s="21"/>
      <c r="I9" s="21"/>
      <c r="J9" s="22"/>
      <c r="K9" s="22" t="s">
        <v>0</v>
      </c>
      <c r="L9" s="33"/>
      <c r="M9" s="30" t="s">
        <v>0</v>
      </c>
      <c r="N9" s="29" t="s">
        <v>19</v>
      </c>
      <c r="O9" s="20"/>
      <c r="P9" s="20"/>
      <c r="Q9" s="18" t="s">
        <v>17</v>
      </c>
      <c r="R9" s="106"/>
      <c r="S9" s="106"/>
      <c r="T9" s="2"/>
      <c r="U9" s="2"/>
    </row>
    <row r="10" spans="1:38" ht="32.1" customHeight="1">
      <c r="A10" s="54"/>
      <c r="B10" s="24"/>
      <c r="C10" s="24"/>
      <c r="D10" s="24" t="s">
        <v>25</v>
      </c>
      <c r="E10" s="24">
        <v>292181</v>
      </c>
      <c r="F10" s="24">
        <v>2779210</v>
      </c>
      <c r="G10" s="24">
        <v>151.88999999999999</v>
      </c>
      <c r="H10" s="21"/>
      <c r="I10" s="21"/>
      <c r="J10" s="22">
        <v>8</v>
      </c>
      <c r="K10" s="22">
        <v>3</v>
      </c>
      <c r="L10" s="33">
        <f t="shared" si="0"/>
        <v>0.375</v>
      </c>
      <c r="M10" s="30" t="s">
        <v>6</v>
      </c>
      <c r="N10" s="29" t="s">
        <v>280</v>
      </c>
      <c r="O10" s="20"/>
      <c r="P10" s="20"/>
      <c r="Q10" s="18" t="s">
        <v>17</v>
      </c>
      <c r="R10" s="106"/>
      <c r="S10" s="106"/>
      <c r="T10" s="2"/>
      <c r="U10" s="2"/>
    </row>
    <row r="11" spans="1:38" ht="55.5">
      <c r="A11" s="56"/>
      <c r="B11" s="24" t="s">
        <v>26</v>
      </c>
      <c r="C11" s="24"/>
      <c r="D11" s="24"/>
      <c r="E11" s="24">
        <v>292180</v>
      </c>
      <c r="F11" s="24">
        <v>2779225</v>
      </c>
      <c r="G11" s="24">
        <v>153.12</v>
      </c>
      <c r="H11" s="21"/>
      <c r="I11" s="21"/>
      <c r="J11" s="22"/>
      <c r="K11" s="22" t="s">
        <v>0</v>
      </c>
      <c r="L11" s="33"/>
      <c r="M11" s="30" t="s">
        <v>0</v>
      </c>
      <c r="N11" s="29" t="s">
        <v>28</v>
      </c>
      <c r="O11" s="20"/>
      <c r="P11" s="20"/>
      <c r="Q11" s="18" t="s">
        <v>27</v>
      </c>
      <c r="R11" s="105" t="s">
        <v>508</v>
      </c>
      <c r="S11" s="105" t="s">
        <v>510</v>
      </c>
      <c r="T11" s="2"/>
      <c r="U11" s="2"/>
    </row>
    <row r="12" spans="1:38" ht="32.1" customHeight="1">
      <c r="A12" s="53"/>
      <c r="B12" s="24"/>
      <c r="C12" s="24" t="s">
        <v>29</v>
      </c>
      <c r="D12" s="24"/>
      <c r="E12" s="24">
        <v>292180</v>
      </c>
      <c r="F12" s="24">
        <v>2779125</v>
      </c>
      <c r="G12" s="24">
        <v>144.12</v>
      </c>
      <c r="H12" s="21"/>
      <c r="I12" s="21"/>
      <c r="J12" s="22"/>
      <c r="K12" s="22" t="s">
        <v>0</v>
      </c>
      <c r="L12" s="33"/>
      <c r="M12" s="30" t="s">
        <v>0</v>
      </c>
      <c r="N12" s="29" t="s">
        <v>19</v>
      </c>
      <c r="O12" s="20"/>
      <c r="P12" s="20"/>
      <c r="Q12" s="18" t="s">
        <v>27</v>
      </c>
      <c r="R12" s="106" t="s">
        <v>513</v>
      </c>
      <c r="S12" s="106" t="s">
        <v>514</v>
      </c>
      <c r="T12" s="2"/>
      <c r="U12" s="2"/>
    </row>
    <row r="13" spans="1:38" ht="32.1" customHeight="1">
      <c r="A13" s="54"/>
      <c r="B13" s="24"/>
      <c r="C13" s="24"/>
      <c r="D13" s="24" t="s">
        <v>30</v>
      </c>
      <c r="E13" s="24" t="s">
        <v>271</v>
      </c>
      <c r="F13" s="24">
        <v>2779125</v>
      </c>
      <c r="G13" s="24">
        <v>144.06</v>
      </c>
      <c r="H13" s="21"/>
      <c r="I13" s="21"/>
      <c r="J13" s="22">
        <v>6</v>
      </c>
      <c r="K13" s="22">
        <v>1</v>
      </c>
      <c r="L13" s="33">
        <f t="shared" si="0"/>
        <v>0.16666666666666666</v>
      </c>
      <c r="M13" s="30" t="s">
        <v>4</v>
      </c>
      <c r="N13" s="29" t="s">
        <v>281</v>
      </c>
      <c r="O13" s="20"/>
      <c r="P13" s="20"/>
      <c r="Q13" s="18" t="s">
        <v>27</v>
      </c>
      <c r="R13" s="106"/>
      <c r="S13" s="106"/>
      <c r="T13" s="2"/>
      <c r="U13" s="2"/>
    </row>
    <row r="14" spans="1:38" ht="55.5">
      <c r="A14" s="56"/>
      <c r="B14" s="24" t="s">
        <v>32</v>
      </c>
      <c r="C14" s="24"/>
      <c r="D14" s="24"/>
      <c r="E14" s="24">
        <v>292016</v>
      </c>
      <c r="F14" s="24">
        <v>2779020</v>
      </c>
      <c r="G14" s="24">
        <v>160.01</v>
      </c>
      <c r="H14" s="21"/>
      <c r="I14" s="21"/>
      <c r="J14" s="22"/>
      <c r="K14" s="22" t="s">
        <v>0</v>
      </c>
      <c r="L14" s="33"/>
      <c r="M14" s="30" t="s">
        <v>0</v>
      </c>
      <c r="N14" s="29" t="s">
        <v>28</v>
      </c>
      <c r="O14" s="20"/>
      <c r="P14" s="20"/>
      <c r="Q14" s="18" t="s">
        <v>27</v>
      </c>
      <c r="R14" s="105" t="s">
        <v>497</v>
      </c>
      <c r="S14" s="105" t="s">
        <v>499</v>
      </c>
      <c r="T14" s="2"/>
      <c r="U14" s="2"/>
    </row>
    <row r="15" spans="1:38" ht="55.5">
      <c r="A15" s="53"/>
      <c r="B15" s="24"/>
      <c r="C15" s="24" t="s">
        <v>33</v>
      </c>
      <c r="D15" s="24"/>
      <c r="E15" s="24">
        <v>292036</v>
      </c>
      <c r="F15" s="24">
        <v>2779006</v>
      </c>
      <c r="G15" s="24">
        <v>153.57</v>
      </c>
      <c r="H15" s="21"/>
      <c r="I15" s="21"/>
      <c r="J15" s="22"/>
      <c r="K15" s="22" t="s">
        <v>0</v>
      </c>
      <c r="L15" s="33"/>
      <c r="M15" s="30" t="s">
        <v>0</v>
      </c>
      <c r="N15" s="29" t="s">
        <v>34</v>
      </c>
      <c r="O15" s="20"/>
      <c r="P15" s="20"/>
      <c r="Q15" s="18" t="s">
        <v>27</v>
      </c>
      <c r="R15" s="105" t="s">
        <v>522</v>
      </c>
      <c r="S15" s="105" t="s">
        <v>521</v>
      </c>
      <c r="T15" s="2"/>
      <c r="U15" s="2"/>
    </row>
    <row r="16" spans="1:38" ht="32.1" customHeight="1">
      <c r="A16" s="54"/>
      <c r="B16" s="24"/>
      <c r="C16" s="24"/>
      <c r="D16" s="24" t="s">
        <v>35</v>
      </c>
      <c r="E16" s="24">
        <v>292037</v>
      </c>
      <c r="F16" s="24">
        <v>2779006</v>
      </c>
      <c r="G16" s="24">
        <v>153.24</v>
      </c>
      <c r="H16" s="21"/>
      <c r="I16" s="21"/>
      <c r="J16" s="22">
        <v>10</v>
      </c>
      <c r="K16" s="22">
        <v>0</v>
      </c>
      <c r="L16" s="33">
        <f t="shared" si="0"/>
        <v>0</v>
      </c>
      <c r="M16" s="30" t="s">
        <v>282</v>
      </c>
      <c r="N16" s="29" t="s">
        <v>283</v>
      </c>
      <c r="O16" s="20"/>
      <c r="P16" s="20"/>
      <c r="Q16" s="18" t="s">
        <v>27</v>
      </c>
      <c r="R16" s="106"/>
      <c r="S16" s="106"/>
      <c r="T16" s="2"/>
      <c r="U16" s="2"/>
    </row>
    <row r="17" spans="1:24" ht="32.1" customHeight="1">
      <c r="A17" s="56" t="s">
        <v>36</v>
      </c>
      <c r="B17" s="24" t="s">
        <v>37</v>
      </c>
      <c r="C17" s="24"/>
      <c r="D17" s="24"/>
      <c r="E17" s="24">
        <v>292230</v>
      </c>
      <c r="F17" s="24">
        <v>2779781</v>
      </c>
      <c r="G17" s="24">
        <v>258.27999999999997</v>
      </c>
      <c r="H17" s="21"/>
      <c r="I17" s="21"/>
      <c r="J17" s="22"/>
      <c r="K17" s="22" t="s">
        <v>0</v>
      </c>
      <c r="L17" s="33"/>
      <c r="M17" s="30" t="s">
        <v>0</v>
      </c>
      <c r="N17" s="29" t="s">
        <v>38</v>
      </c>
      <c r="O17" s="20"/>
      <c r="P17" s="20"/>
      <c r="Q17" s="18" t="s">
        <v>27</v>
      </c>
      <c r="R17" s="106"/>
      <c r="S17" s="106"/>
      <c r="T17" s="2"/>
      <c r="U17" s="2"/>
    </row>
    <row r="18" spans="1:24" ht="32.1" customHeight="1">
      <c r="A18" s="53"/>
      <c r="C18" s="24" t="s">
        <v>39</v>
      </c>
      <c r="D18" s="24"/>
      <c r="E18" s="24">
        <v>292221</v>
      </c>
      <c r="F18" s="24">
        <v>2779737</v>
      </c>
      <c r="G18" s="24">
        <v>250.1</v>
      </c>
      <c r="H18" s="21"/>
      <c r="I18" s="21"/>
      <c r="J18" s="22"/>
      <c r="K18" s="22" t="s">
        <v>0</v>
      </c>
      <c r="L18" s="33"/>
      <c r="M18" s="30" t="s">
        <v>0</v>
      </c>
      <c r="N18" s="29" t="s">
        <v>40</v>
      </c>
      <c r="O18" s="20"/>
      <c r="P18" s="20"/>
      <c r="Q18" s="18" t="s">
        <v>27</v>
      </c>
      <c r="R18" s="106"/>
      <c r="S18" s="106"/>
      <c r="T18" s="2"/>
      <c r="U18" s="2"/>
    </row>
    <row r="19" spans="1:24" ht="32.1" customHeight="1">
      <c r="A19" s="53"/>
      <c r="C19" s="24" t="s">
        <v>41</v>
      </c>
      <c r="D19" s="24"/>
      <c r="E19" s="24">
        <v>292265</v>
      </c>
      <c r="F19" s="24">
        <v>2779593</v>
      </c>
      <c r="G19" s="24">
        <v>226.07</v>
      </c>
      <c r="H19" s="21"/>
      <c r="I19" s="21"/>
      <c r="J19" s="22"/>
      <c r="K19" s="22" t="s">
        <v>0</v>
      </c>
      <c r="L19" s="33"/>
      <c r="M19" s="30" t="s">
        <v>0</v>
      </c>
      <c r="N19" s="29" t="s">
        <v>40</v>
      </c>
      <c r="O19" s="20"/>
      <c r="P19" s="20"/>
      <c r="Q19" s="18" t="s">
        <v>27</v>
      </c>
      <c r="R19" s="106"/>
      <c r="S19" s="106"/>
      <c r="T19" s="2"/>
      <c r="U19" s="2"/>
    </row>
    <row r="20" spans="1:24" ht="32.1" customHeight="1">
      <c r="A20" s="53"/>
      <c r="C20" s="24"/>
      <c r="D20" s="24" t="s">
        <v>42</v>
      </c>
      <c r="E20" s="24">
        <v>292230</v>
      </c>
      <c r="F20" s="24">
        <v>2779717</v>
      </c>
      <c r="G20" s="24">
        <v>246.18</v>
      </c>
      <c r="H20" s="21"/>
      <c r="I20" s="21"/>
      <c r="J20" s="22">
        <v>1</v>
      </c>
      <c r="K20" s="22">
        <v>1</v>
      </c>
      <c r="L20" s="33">
        <f t="shared" si="0"/>
        <v>1</v>
      </c>
      <c r="M20" s="30">
        <v>1</v>
      </c>
      <c r="N20" s="29" t="s">
        <v>44</v>
      </c>
      <c r="O20" s="20"/>
      <c r="P20" s="20"/>
      <c r="Q20" s="18" t="s">
        <v>43</v>
      </c>
      <c r="R20" s="106"/>
      <c r="S20" s="106"/>
      <c r="T20" s="2"/>
      <c r="U20" s="2"/>
    </row>
    <row r="21" spans="1:24" ht="32.1" customHeight="1">
      <c r="A21" s="53"/>
      <c r="C21" s="24"/>
      <c r="D21" s="24" t="s">
        <v>45</v>
      </c>
      <c r="E21" s="24">
        <v>292254</v>
      </c>
      <c r="F21" s="24">
        <v>2779579</v>
      </c>
      <c r="G21" s="24">
        <v>225.8</v>
      </c>
      <c r="H21" s="21"/>
      <c r="I21" s="21"/>
      <c r="J21" s="22">
        <v>4</v>
      </c>
      <c r="K21" s="22">
        <v>3</v>
      </c>
      <c r="L21" s="33">
        <f t="shared" si="0"/>
        <v>0.75</v>
      </c>
      <c r="M21" s="30" t="s">
        <v>1</v>
      </c>
      <c r="N21" s="29" t="s">
        <v>46</v>
      </c>
      <c r="O21" s="20"/>
      <c r="P21" s="20"/>
      <c r="Q21" s="18" t="s">
        <v>43</v>
      </c>
      <c r="R21" s="106" t="s">
        <v>511</v>
      </c>
      <c r="S21" s="106" t="s">
        <v>512</v>
      </c>
      <c r="T21" s="2"/>
      <c r="U21" s="2"/>
    </row>
    <row r="22" spans="1:24" ht="32.1" customHeight="1">
      <c r="A22" s="54"/>
      <c r="C22" s="24"/>
      <c r="D22" s="24" t="s">
        <v>47</v>
      </c>
      <c r="E22" s="24">
        <v>292266</v>
      </c>
      <c r="F22" s="24">
        <v>2779592</v>
      </c>
      <c r="G22" s="24">
        <v>226.11</v>
      </c>
      <c r="H22" s="21"/>
      <c r="I22" s="21"/>
      <c r="J22" s="22">
        <v>2</v>
      </c>
      <c r="K22" s="22">
        <v>1</v>
      </c>
      <c r="L22" s="33">
        <f t="shared" si="0"/>
        <v>0.5</v>
      </c>
      <c r="M22" s="30" t="s">
        <v>2</v>
      </c>
      <c r="N22" s="29" t="s">
        <v>48</v>
      </c>
      <c r="O22" s="20"/>
      <c r="P22" s="20"/>
      <c r="Q22" s="18" t="s">
        <v>43</v>
      </c>
      <c r="R22" s="106"/>
      <c r="S22" s="106"/>
      <c r="T22" s="2"/>
      <c r="U22" s="2"/>
    </row>
    <row r="23" spans="1:24" ht="32.1" customHeight="1">
      <c r="A23" s="56"/>
      <c r="B23" s="24" t="s">
        <v>49</v>
      </c>
      <c r="C23" s="24"/>
      <c r="D23" s="24"/>
      <c r="E23" s="24">
        <v>292416</v>
      </c>
      <c r="F23" s="24">
        <v>2779771</v>
      </c>
      <c r="G23" s="24">
        <v>252.38</v>
      </c>
      <c r="H23" s="21"/>
      <c r="I23" s="21"/>
      <c r="J23" s="22"/>
      <c r="K23" s="22" t="s">
        <v>0</v>
      </c>
      <c r="L23" s="33"/>
      <c r="M23" s="30" t="s">
        <v>0</v>
      </c>
      <c r="N23" s="29" t="s">
        <v>28</v>
      </c>
      <c r="O23" s="20"/>
      <c r="P23" s="20"/>
      <c r="Q23" s="18" t="s">
        <v>27</v>
      </c>
      <c r="R23" s="106"/>
      <c r="S23" s="106"/>
      <c r="T23" s="2"/>
      <c r="U23" s="2"/>
      <c r="X23" s="1" t="s">
        <v>100</v>
      </c>
    </row>
    <row r="24" spans="1:24" ht="32.1" customHeight="1">
      <c r="A24" s="53"/>
      <c r="C24" s="24" t="s">
        <v>50</v>
      </c>
      <c r="D24" s="24"/>
      <c r="E24" s="24">
        <v>292389</v>
      </c>
      <c r="F24" s="24">
        <v>2779719</v>
      </c>
      <c r="G24" s="24">
        <v>237.42</v>
      </c>
      <c r="H24" s="21"/>
      <c r="I24" s="21"/>
      <c r="J24" s="22"/>
      <c r="K24" s="22" t="s">
        <v>0</v>
      </c>
      <c r="L24" s="33"/>
      <c r="M24" s="30" t="s">
        <v>0</v>
      </c>
      <c r="N24" s="29" t="s">
        <v>51</v>
      </c>
      <c r="O24" s="20"/>
      <c r="P24" s="20"/>
      <c r="Q24" s="18" t="s">
        <v>27</v>
      </c>
      <c r="R24" s="106"/>
      <c r="S24" s="106"/>
      <c r="T24" s="2"/>
      <c r="U24" s="2"/>
    </row>
    <row r="25" spans="1:24" ht="32.1" customHeight="1">
      <c r="A25" s="53"/>
      <c r="C25" s="24"/>
      <c r="D25" s="24" t="s">
        <v>52</v>
      </c>
      <c r="E25" s="24">
        <v>292415</v>
      </c>
      <c r="F25" s="24">
        <v>2779749</v>
      </c>
      <c r="G25" s="24">
        <v>247.62</v>
      </c>
      <c r="H25" s="21"/>
      <c r="I25" s="21"/>
      <c r="J25" s="22">
        <v>4</v>
      </c>
      <c r="K25" s="22">
        <v>2</v>
      </c>
      <c r="L25" s="33">
        <f t="shared" si="0"/>
        <v>0.5</v>
      </c>
      <c r="M25" s="30" t="s">
        <v>5</v>
      </c>
      <c r="N25" s="29" t="s">
        <v>53</v>
      </c>
      <c r="O25" s="20"/>
      <c r="P25" s="20"/>
      <c r="Q25" s="18" t="s">
        <v>43</v>
      </c>
      <c r="R25" s="106"/>
      <c r="S25" s="106"/>
      <c r="T25" s="2"/>
      <c r="U25" s="2"/>
    </row>
    <row r="26" spans="1:24" ht="32.1" customHeight="1">
      <c r="A26" s="53"/>
      <c r="C26" s="24"/>
      <c r="D26" s="24" t="s">
        <v>54</v>
      </c>
      <c r="E26" s="24">
        <v>292388</v>
      </c>
      <c r="F26" s="24">
        <v>2779720</v>
      </c>
      <c r="G26" s="24">
        <v>237.4</v>
      </c>
      <c r="H26" s="21"/>
      <c r="I26" s="21"/>
      <c r="J26" s="22">
        <v>4</v>
      </c>
      <c r="K26" s="22">
        <v>1</v>
      </c>
      <c r="L26" s="33">
        <f t="shared" si="0"/>
        <v>0.25</v>
      </c>
      <c r="M26" s="30" t="s">
        <v>5</v>
      </c>
      <c r="N26" s="29" t="s">
        <v>53</v>
      </c>
      <c r="O26" s="20"/>
      <c r="P26" s="20"/>
      <c r="Q26" s="18" t="s">
        <v>43</v>
      </c>
      <c r="R26" s="106"/>
      <c r="S26" s="106"/>
      <c r="T26" s="2"/>
      <c r="U26" s="2"/>
    </row>
    <row r="27" spans="1:24" ht="32.1" customHeight="1">
      <c r="A27" s="53"/>
      <c r="B27" s="24" t="s">
        <v>55</v>
      </c>
      <c r="C27" s="24"/>
      <c r="D27" s="24"/>
      <c r="E27" s="24">
        <v>292504</v>
      </c>
      <c r="F27" s="24">
        <v>2779514</v>
      </c>
      <c r="G27" s="24">
        <v>219.9</v>
      </c>
      <c r="H27" s="21"/>
      <c r="I27" s="21"/>
      <c r="J27" s="22"/>
      <c r="K27" s="22" t="s">
        <v>0</v>
      </c>
      <c r="L27" s="33"/>
      <c r="M27" s="30" t="s">
        <v>0</v>
      </c>
      <c r="N27" s="29" t="s">
        <v>28</v>
      </c>
      <c r="O27" s="20"/>
      <c r="P27" s="20"/>
      <c r="Q27" s="18" t="s">
        <v>27</v>
      </c>
      <c r="R27" s="106"/>
      <c r="S27" s="106"/>
      <c r="T27" s="2"/>
      <c r="U27" s="2"/>
    </row>
    <row r="28" spans="1:24" ht="32.1" customHeight="1">
      <c r="A28" s="53"/>
      <c r="C28" s="24" t="s">
        <v>56</v>
      </c>
      <c r="D28" s="24"/>
      <c r="E28" s="24">
        <v>292500</v>
      </c>
      <c r="F28" s="24">
        <v>2779503</v>
      </c>
      <c r="G28" s="24">
        <v>216.21</v>
      </c>
      <c r="H28" s="21"/>
      <c r="I28" s="21"/>
      <c r="J28" s="22"/>
      <c r="K28" s="22" t="s">
        <v>0</v>
      </c>
      <c r="L28" s="33"/>
      <c r="M28" s="30" t="s">
        <v>0</v>
      </c>
      <c r="N28" s="29" t="s">
        <v>40</v>
      </c>
      <c r="O28" s="20"/>
      <c r="P28" s="20"/>
      <c r="Q28" s="18" t="s">
        <v>27</v>
      </c>
      <c r="R28" s="106"/>
      <c r="S28" s="106"/>
      <c r="T28" s="2"/>
      <c r="U28" s="2"/>
    </row>
    <row r="29" spans="1:24" ht="32.1" customHeight="1">
      <c r="A29" s="53"/>
      <c r="C29" s="24"/>
      <c r="D29" s="24" t="s">
        <v>57</v>
      </c>
      <c r="E29" s="24">
        <v>292495</v>
      </c>
      <c r="F29" s="24">
        <v>2779495</v>
      </c>
      <c r="G29" s="24">
        <v>215.49</v>
      </c>
      <c r="H29" s="21"/>
      <c r="I29" s="21"/>
      <c r="J29" s="22">
        <v>6</v>
      </c>
      <c r="K29" s="22">
        <v>0</v>
      </c>
      <c r="L29" s="33">
        <f t="shared" si="0"/>
        <v>0</v>
      </c>
      <c r="M29" s="30" t="s">
        <v>4</v>
      </c>
      <c r="N29" s="29" t="s">
        <v>31</v>
      </c>
      <c r="O29" s="20"/>
      <c r="P29" s="20"/>
      <c r="Q29" s="18" t="s">
        <v>43</v>
      </c>
      <c r="R29" s="106"/>
      <c r="S29" s="106"/>
      <c r="T29" s="2"/>
      <c r="U29" s="2"/>
    </row>
    <row r="30" spans="1:24" ht="32.1" customHeight="1">
      <c r="A30" s="53"/>
      <c r="B30" s="24" t="s">
        <v>58</v>
      </c>
      <c r="C30" s="24"/>
      <c r="D30" s="24"/>
      <c r="E30" s="24" t="s">
        <v>272</v>
      </c>
      <c r="F30" s="24">
        <v>2779185</v>
      </c>
      <c r="G30" s="24">
        <v>145.16</v>
      </c>
      <c r="H30" s="21"/>
      <c r="I30" s="21"/>
      <c r="J30" s="22"/>
      <c r="K30" s="22" t="s">
        <v>0</v>
      </c>
      <c r="L30" s="33"/>
      <c r="M30" s="30" t="s">
        <v>0</v>
      </c>
      <c r="N30" s="29" t="s">
        <v>59</v>
      </c>
      <c r="O30" s="20"/>
      <c r="P30" s="20"/>
      <c r="Q30" s="18" t="s">
        <v>43</v>
      </c>
      <c r="R30" s="106"/>
      <c r="S30" s="106"/>
      <c r="T30" s="2"/>
      <c r="U30" s="2"/>
    </row>
    <row r="31" spans="1:24" ht="32.1" customHeight="1">
      <c r="A31" s="53"/>
      <c r="C31" s="24" t="s">
        <v>60</v>
      </c>
      <c r="D31" s="24"/>
      <c r="E31" s="24" t="s">
        <v>273</v>
      </c>
      <c r="F31" s="24">
        <v>2779165</v>
      </c>
      <c r="G31" s="24">
        <v>135.69999999999999</v>
      </c>
      <c r="H31" s="21"/>
      <c r="I31" s="21"/>
      <c r="J31" s="22"/>
      <c r="K31" s="22" t="s">
        <v>0</v>
      </c>
      <c r="L31" s="33"/>
      <c r="M31" s="30" t="s">
        <v>0</v>
      </c>
      <c r="N31" s="29" t="s">
        <v>40</v>
      </c>
      <c r="O31" s="20"/>
      <c r="P31" s="20"/>
      <c r="Q31" s="18" t="s">
        <v>43</v>
      </c>
      <c r="R31" s="106"/>
      <c r="S31" s="106"/>
      <c r="T31" s="2"/>
      <c r="U31" s="2"/>
    </row>
    <row r="32" spans="1:24" ht="32.1" customHeight="1">
      <c r="A32" s="53"/>
      <c r="C32" s="24"/>
      <c r="D32" s="24" t="s">
        <v>61</v>
      </c>
      <c r="E32" s="24" t="s">
        <v>273</v>
      </c>
      <c r="F32" s="24">
        <v>2779164</v>
      </c>
      <c r="G32" s="24">
        <v>134.94</v>
      </c>
      <c r="H32" s="21"/>
      <c r="I32" s="21"/>
      <c r="J32" s="22">
        <v>2</v>
      </c>
      <c r="K32" s="22">
        <v>1</v>
      </c>
      <c r="L32" s="33">
        <f t="shared" si="0"/>
        <v>0.5</v>
      </c>
      <c r="M32" s="30" t="s">
        <v>2</v>
      </c>
      <c r="N32" s="29" t="s">
        <v>48</v>
      </c>
      <c r="O32" s="20"/>
      <c r="P32" s="20"/>
      <c r="Q32" s="18" t="s">
        <v>43</v>
      </c>
      <c r="R32" s="106"/>
      <c r="S32" s="106"/>
      <c r="T32" s="2"/>
      <c r="U32" s="2"/>
    </row>
    <row r="33" spans="1:21" ht="32.1" customHeight="1">
      <c r="A33" s="53"/>
      <c r="C33" s="24"/>
      <c r="D33" s="24" t="s">
        <v>62</v>
      </c>
      <c r="E33" s="24">
        <v>292586</v>
      </c>
      <c r="F33" s="24">
        <v>2779087</v>
      </c>
      <c r="G33" s="24">
        <v>121.1</v>
      </c>
      <c r="H33" s="21"/>
      <c r="I33" s="21"/>
      <c r="J33" s="22">
        <v>3</v>
      </c>
      <c r="K33" s="22">
        <v>3</v>
      </c>
      <c r="L33" s="33">
        <f t="shared" si="0"/>
        <v>1</v>
      </c>
      <c r="M33" s="30" t="s">
        <v>3</v>
      </c>
      <c r="N33" s="29" t="s">
        <v>63</v>
      </c>
      <c r="O33" s="20"/>
      <c r="P33" s="20"/>
      <c r="Q33" s="18" t="s">
        <v>43</v>
      </c>
      <c r="R33" s="106"/>
      <c r="S33" s="106"/>
      <c r="T33" s="2"/>
      <c r="U33" s="2"/>
    </row>
    <row r="34" spans="1:21" ht="32.1" customHeight="1">
      <c r="A34" s="53"/>
      <c r="C34" s="24"/>
      <c r="D34" s="24" t="s">
        <v>64</v>
      </c>
      <c r="E34" s="24">
        <v>292620</v>
      </c>
      <c r="F34" s="24">
        <v>2779009</v>
      </c>
      <c r="G34" s="24">
        <v>109.74</v>
      </c>
      <c r="H34" s="21"/>
      <c r="I34" s="21"/>
      <c r="J34" s="22">
        <v>1</v>
      </c>
      <c r="K34" s="22">
        <v>1</v>
      </c>
      <c r="L34" s="33">
        <f t="shared" si="0"/>
        <v>1</v>
      </c>
      <c r="M34" s="30">
        <v>1</v>
      </c>
      <c r="N34" s="29" t="s">
        <v>65</v>
      </c>
      <c r="O34" s="20"/>
      <c r="P34" s="20"/>
      <c r="Q34" s="18" t="s">
        <v>43</v>
      </c>
      <c r="R34" s="106"/>
      <c r="S34" s="106"/>
      <c r="T34" s="2"/>
      <c r="U34" s="2"/>
    </row>
    <row r="35" spans="1:21" ht="32.1" customHeight="1">
      <c r="A35" s="53"/>
      <c r="C35" s="24"/>
      <c r="D35" s="24" t="s">
        <v>66</v>
      </c>
      <c r="E35" s="24">
        <v>292621</v>
      </c>
      <c r="F35" s="24">
        <v>2778924</v>
      </c>
      <c r="G35" s="24">
        <v>102.88</v>
      </c>
      <c r="H35" s="21"/>
      <c r="I35" s="21"/>
      <c r="J35" s="22">
        <v>2</v>
      </c>
      <c r="K35" s="22">
        <v>2</v>
      </c>
      <c r="L35" s="33">
        <f t="shared" si="0"/>
        <v>1</v>
      </c>
      <c r="M35" s="30">
        <v>2</v>
      </c>
      <c r="N35" s="29" t="s">
        <v>67</v>
      </c>
      <c r="O35" s="20"/>
      <c r="P35" s="20"/>
      <c r="Q35" s="18" t="s">
        <v>43</v>
      </c>
      <c r="R35" s="106" t="s">
        <v>156</v>
      </c>
      <c r="S35" s="106"/>
      <c r="T35" s="2"/>
      <c r="U35" s="2"/>
    </row>
    <row r="36" spans="1:21" ht="32.1" customHeight="1">
      <c r="A36" s="53"/>
      <c r="C36" s="24"/>
      <c r="D36" s="24" t="s">
        <v>68</v>
      </c>
      <c r="E36" s="24">
        <v>292653</v>
      </c>
      <c r="F36" s="24">
        <v>2778876</v>
      </c>
      <c r="G36" s="24">
        <v>96.39</v>
      </c>
      <c r="H36" s="21"/>
      <c r="I36" s="21"/>
      <c r="J36" s="22">
        <v>1</v>
      </c>
      <c r="K36" s="22">
        <v>1</v>
      </c>
      <c r="L36" s="33">
        <f t="shared" si="0"/>
        <v>1</v>
      </c>
      <c r="M36" s="30">
        <v>1</v>
      </c>
      <c r="N36" s="29" t="s">
        <v>69</v>
      </c>
      <c r="O36" s="20"/>
      <c r="P36" s="20"/>
      <c r="Q36" s="18" t="s">
        <v>43</v>
      </c>
      <c r="R36" s="106"/>
      <c r="S36" s="106"/>
      <c r="T36" s="2"/>
      <c r="U36" s="2"/>
    </row>
    <row r="37" spans="1:21" ht="32.1" customHeight="1">
      <c r="A37" s="53"/>
      <c r="C37" s="24"/>
      <c r="D37" s="24" t="s">
        <v>70</v>
      </c>
      <c r="E37" s="24">
        <v>292670</v>
      </c>
      <c r="F37" s="24">
        <v>2778815</v>
      </c>
      <c r="G37" s="24">
        <v>91.25</v>
      </c>
      <c r="H37" s="21"/>
      <c r="I37" s="21"/>
      <c r="J37" s="22">
        <v>4</v>
      </c>
      <c r="K37" s="22">
        <v>1</v>
      </c>
      <c r="L37" s="33">
        <f t="shared" si="0"/>
        <v>0.25</v>
      </c>
      <c r="M37" s="30" t="s">
        <v>1</v>
      </c>
      <c r="N37" s="29" t="s">
        <v>46</v>
      </c>
      <c r="O37" s="20"/>
      <c r="P37" s="20"/>
      <c r="Q37" s="18" t="s">
        <v>43</v>
      </c>
      <c r="R37" s="106" t="s">
        <v>516</v>
      </c>
      <c r="S37" s="106" t="s">
        <v>493</v>
      </c>
      <c r="T37" s="2"/>
      <c r="U37" s="2"/>
    </row>
    <row r="38" spans="1:21" ht="32.1" customHeight="1">
      <c r="A38" s="53"/>
      <c r="C38" s="24"/>
      <c r="D38" s="24" t="s">
        <v>71</v>
      </c>
      <c r="E38" s="24" t="s">
        <v>274</v>
      </c>
      <c r="F38" s="24">
        <v>2778802</v>
      </c>
      <c r="G38" s="24">
        <v>90.13</v>
      </c>
      <c r="H38" s="21"/>
      <c r="I38" s="21"/>
      <c r="J38" s="22">
        <v>2</v>
      </c>
      <c r="K38" s="22">
        <v>1</v>
      </c>
      <c r="L38" s="33">
        <f t="shared" si="0"/>
        <v>0.5</v>
      </c>
      <c r="M38" s="30">
        <v>2</v>
      </c>
      <c r="N38" s="29" t="s">
        <v>72</v>
      </c>
      <c r="O38" s="20"/>
      <c r="P38" s="20"/>
      <c r="Q38" s="18" t="s">
        <v>43</v>
      </c>
      <c r="R38" s="106" t="s">
        <v>516</v>
      </c>
      <c r="S38" s="106" t="s">
        <v>493</v>
      </c>
      <c r="T38" s="2"/>
      <c r="U38" s="2"/>
    </row>
    <row r="39" spans="1:21" ht="32.1" customHeight="1">
      <c r="A39" s="53"/>
      <c r="B39" s="24" t="s">
        <v>73</v>
      </c>
      <c r="C39" s="24"/>
      <c r="D39" s="24"/>
      <c r="E39" s="24" t="s">
        <v>275</v>
      </c>
      <c r="F39" s="24">
        <v>2778906</v>
      </c>
      <c r="G39" s="24">
        <v>101.42</v>
      </c>
      <c r="H39" s="21"/>
      <c r="I39" s="21"/>
      <c r="J39" s="22"/>
      <c r="K39" s="22" t="s">
        <v>0</v>
      </c>
      <c r="L39" s="33"/>
      <c r="M39" s="30" t="s">
        <v>0</v>
      </c>
      <c r="N39" s="29" t="s">
        <v>59</v>
      </c>
      <c r="O39" s="20"/>
      <c r="P39" s="20"/>
      <c r="Q39" s="18" t="s">
        <v>74</v>
      </c>
      <c r="R39" s="106" t="s">
        <v>157</v>
      </c>
      <c r="S39" s="106"/>
      <c r="T39" s="2"/>
      <c r="U39" s="2"/>
    </row>
    <row r="40" spans="1:21" ht="55.5">
      <c r="A40" s="53"/>
      <c r="C40" s="24" t="s">
        <v>75</v>
      </c>
      <c r="D40" s="24"/>
      <c r="E40" s="24">
        <v>292672</v>
      </c>
      <c r="F40" s="24" t="s">
        <v>276</v>
      </c>
      <c r="G40" s="24">
        <v>89.32</v>
      </c>
      <c r="H40" s="21"/>
      <c r="I40" s="21"/>
      <c r="J40" s="22"/>
      <c r="K40" s="22" t="s">
        <v>0</v>
      </c>
      <c r="L40" s="33"/>
      <c r="M40" s="30" t="s">
        <v>0</v>
      </c>
      <c r="N40" s="29" t="s">
        <v>76</v>
      </c>
      <c r="O40" s="20"/>
      <c r="P40" s="20"/>
      <c r="Q40" s="18" t="s">
        <v>74</v>
      </c>
      <c r="R40" s="105" t="s">
        <v>519</v>
      </c>
      <c r="S40" s="105" t="s">
        <v>520</v>
      </c>
      <c r="T40" s="2"/>
      <c r="U40" s="2"/>
    </row>
    <row r="41" spans="1:21" ht="32.1" customHeight="1">
      <c r="A41" s="53"/>
      <c r="C41" s="24"/>
      <c r="D41" s="24" t="s">
        <v>77</v>
      </c>
      <c r="E41" s="24">
        <v>292996</v>
      </c>
      <c r="F41" s="24">
        <v>2778241</v>
      </c>
      <c r="G41" s="24">
        <v>51.18</v>
      </c>
      <c r="H41" s="21"/>
      <c r="I41" s="21"/>
      <c r="J41" s="22">
        <v>3</v>
      </c>
      <c r="K41" s="22">
        <v>0</v>
      </c>
      <c r="L41" s="33">
        <f t="shared" si="0"/>
        <v>0</v>
      </c>
      <c r="M41" s="30" t="s">
        <v>3</v>
      </c>
      <c r="N41" s="29" t="s">
        <v>63</v>
      </c>
      <c r="O41" s="20"/>
      <c r="P41" s="20"/>
      <c r="Q41" s="18" t="s">
        <v>74</v>
      </c>
      <c r="R41" s="106"/>
      <c r="S41" s="106"/>
      <c r="T41" s="2"/>
      <c r="U41" s="2"/>
    </row>
    <row r="42" spans="1:21" ht="32.1" customHeight="1">
      <c r="A42" s="53"/>
      <c r="C42" s="24"/>
      <c r="D42" s="24" t="s">
        <v>78</v>
      </c>
      <c r="E42" s="24">
        <v>293250</v>
      </c>
      <c r="F42" s="24">
        <v>2778206</v>
      </c>
      <c r="G42" s="24">
        <v>46.06</v>
      </c>
      <c r="H42" s="21"/>
      <c r="I42" s="21"/>
      <c r="J42" s="22">
        <v>3</v>
      </c>
      <c r="K42" s="22">
        <v>1</v>
      </c>
      <c r="L42" s="33">
        <f t="shared" si="0"/>
        <v>0.33333333333333331</v>
      </c>
      <c r="M42" s="30">
        <v>3</v>
      </c>
      <c r="N42" s="29" t="s">
        <v>79</v>
      </c>
      <c r="O42" s="20"/>
      <c r="P42" s="20"/>
      <c r="Q42" s="18" t="s">
        <v>74</v>
      </c>
      <c r="R42" s="106"/>
      <c r="S42" s="106"/>
      <c r="T42" s="2"/>
      <c r="U42" s="2"/>
    </row>
    <row r="43" spans="1:21" ht="32.1" customHeight="1">
      <c r="A43" s="53"/>
      <c r="C43" s="24"/>
      <c r="D43" s="24" t="s">
        <v>80</v>
      </c>
      <c r="E43" s="24">
        <v>293324</v>
      </c>
      <c r="F43" s="24">
        <v>2778136</v>
      </c>
      <c r="G43" s="24">
        <v>42.72</v>
      </c>
      <c r="H43" s="21"/>
      <c r="I43" s="21"/>
      <c r="J43" s="22">
        <v>1</v>
      </c>
      <c r="K43" s="22">
        <v>1</v>
      </c>
      <c r="L43" s="33">
        <f t="shared" si="0"/>
        <v>1</v>
      </c>
      <c r="M43" s="30">
        <v>1</v>
      </c>
      <c r="N43" s="29" t="s">
        <v>81</v>
      </c>
      <c r="O43" s="20"/>
      <c r="P43" s="20"/>
      <c r="Q43" s="18" t="s">
        <v>74</v>
      </c>
      <c r="R43" s="106"/>
      <c r="S43" s="106"/>
      <c r="T43" s="2"/>
      <c r="U43" s="2"/>
    </row>
    <row r="44" spans="1:21" ht="32.1" customHeight="1">
      <c r="A44" s="53"/>
      <c r="C44" s="24"/>
      <c r="D44" s="24" t="s">
        <v>82</v>
      </c>
      <c r="E44" s="24">
        <v>293382</v>
      </c>
      <c r="F44" s="24">
        <v>2778260</v>
      </c>
      <c r="G44" s="24">
        <v>43.36</v>
      </c>
      <c r="H44" s="21"/>
      <c r="I44" s="21"/>
      <c r="J44" s="22">
        <v>4</v>
      </c>
      <c r="K44" s="22">
        <v>2</v>
      </c>
      <c r="L44" s="33">
        <f t="shared" si="0"/>
        <v>0.5</v>
      </c>
      <c r="M44" s="30" t="s">
        <v>1</v>
      </c>
      <c r="N44" s="29" t="s">
        <v>46</v>
      </c>
      <c r="O44" s="20"/>
      <c r="P44" s="20"/>
      <c r="Q44" s="18" t="s">
        <v>74</v>
      </c>
      <c r="R44" s="106"/>
      <c r="S44" s="106"/>
      <c r="T44" s="2"/>
      <c r="U44" s="2"/>
    </row>
    <row r="45" spans="1:21" ht="32.1" customHeight="1">
      <c r="A45" s="53"/>
      <c r="B45" s="24" t="s">
        <v>83</v>
      </c>
      <c r="C45" s="24"/>
      <c r="D45" s="24"/>
      <c r="E45" s="24" t="s">
        <v>277</v>
      </c>
      <c r="F45" s="24" t="s">
        <v>278</v>
      </c>
      <c r="G45" s="24">
        <v>75</v>
      </c>
      <c r="H45" s="21"/>
      <c r="I45" s="21"/>
      <c r="J45" s="22"/>
      <c r="K45" s="22" t="s">
        <v>0</v>
      </c>
      <c r="L45" s="33"/>
      <c r="M45" s="30" t="s">
        <v>0</v>
      </c>
      <c r="N45" s="29" t="s">
        <v>84</v>
      </c>
      <c r="O45" s="20"/>
      <c r="P45" s="20"/>
      <c r="Q45" s="18" t="s">
        <v>74</v>
      </c>
      <c r="R45" s="106"/>
      <c r="S45" s="106"/>
      <c r="T45" s="2"/>
      <c r="U45" s="2"/>
    </row>
    <row r="46" spans="1:21" ht="32.1" customHeight="1">
      <c r="A46" s="53"/>
      <c r="C46" s="24" t="s">
        <v>85</v>
      </c>
      <c r="D46" s="24"/>
      <c r="E46" s="24">
        <v>292770</v>
      </c>
      <c r="F46" s="24">
        <v>2778524</v>
      </c>
      <c r="G46" s="24">
        <v>66.75</v>
      </c>
      <c r="H46" s="21"/>
      <c r="I46" s="21"/>
      <c r="J46" s="22"/>
      <c r="K46" s="22" t="s">
        <v>0</v>
      </c>
      <c r="L46" s="33"/>
      <c r="M46" s="30" t="s">
        <v>0</v>
      </c>
      <c r="N46" s="29" t="s">
        <v>76</v>
      </c>
      <c r="O46" s="20"/>
      <c r="P46" s="20"/>
      <c r="Q46" s="18" t="s">
        <v>74</v>
      </c>
      <c r="R46" s="106" t="s">
        <v>517</v>
      </c>
      <c r="S46" s="106" t="s">
        <v>518</v>
      </c>
      <c r="T46" s="2"/>
      <c r="U46" s="2"/>
    </row>
    <row r="47" spans="1:21" ht="32.1" customHeight="1">
      <c r="A47" s="53"/>
      <c r="C47" s="24"/>
      <c r="D47" s="24" t="s">
        <v>86</v>
      </c>
      <c r="E47" s="24">
        <v>292770</v>
      </c>
      <c r="F47" s="24">
        <v>2778522</v>
      </c>
      <c r="G47" s="24">
        <v>66.81</v>
      </c>
      <c r="H47" s="21"/>
      <c r="I47" s="21"/>
      <c r="J47" s="22">
        <v>1</v>
      </c>
      <c r="K47" s="22">
        <v>0</v>
      </c>
      <c r="L47" s="33">
        <f t="shared" si="0"/>
        <v>0</v>
      </c>
      <c r="M47" s="30">
        <v>1</v>
      </c>
      <c r="N47" s="29" t="s">
        <v>87</v>
      </c>
      <c r="O47" s="20"/>
      <c r="P47" s="20"/>
      <c r="Q47" s="18" t="s">
        <v>74</v>
      </c>
      <c r="R47" s="106"/>
      <c r="S47" s="106"/>
      <c r="T47" s="2"/>
      <c r="U47" s="2"/>
    </row>
    <row r="48" spans="1:21" ht="32.1" customHeight="1">
      <c r="A48" s="53"/>
      <c r="C48" s="24"/>
      <c r="D48" s="24" t="s">
        <v>88</v>
      </c>
      <c r="E48" s="24">
        <v>292782</v>
      </c>
      <c r="F48" s="24">
        <v>2778372</v>
      </c>
      <c r="G48" s="24">
        <v>59.65</v>
      </c>
      <c r="H48" s="21"/>
      <c r="I48" s="21"/>
      <c r="J48" s="22">
        <v>1</v>
      </c>
      <c r="K48" s="22">
        <v>0</v>
      </c>
      <c r="L48" s="33">
        <f t="shared" si="0"/>
        <v>0</v>
      </c>
      <c r="M48" s="30">
        <v>1</v>
      </c>
      <c r="N48" s="29" t="s">
        <v>89</v>
      </c>
      <c r="O48" s="20"/>
      <c r="P48" s="20"/>
      <c r="Q48" s="18" t="s">
        <v>74</v>
      </c>
      <c r="R48" s="106"/>
      <c r="S48" s="106"/>
      <c r="T48" s="2"/>
      <c r="U48" s="2"/>
    </row>
    <row r="49" spans="1:21" ht="32.1" customHeight="1">
      <c r="A49" s="53"/>
      <c r="C49" s="24"/>
      <c r="D49" s="24" t="s">
        <v>90</v>
      </c>
      <c r="E49" s="24">
        <v>292810</v>
      </c>
      <c r="F49" s="24">
        <v>2778363</v>
      </c>
      <c r="G49" s="24">
        <v>58.16</v>
      </c>
      <c r="H49" s="21"/>
      <c r="I49" s="21"/>
      <c r="J49" s="22">
        <v>2</v>
      </c>
      <c r="K49" s="22">
        <v>0</v>
      </c>
      <c r="L49" s="33">
        <f t="shared" si="0"/>
        <v>0</v>
      </c>
      <c r="M49" s="30" t="s">
        <v>2</v>
      </c>
      <c r="N49" s="29" t="s">
        <v>48</v>
      </c>
      <c r="O49" s="20"/>
      <c r="P49" s="20"/>
      <c r="Q49" s="18" t="s">
        <v>74</v>
      </c>
      <c r="R49" s="106"/>
      <c r="S49" s="106"/>
      <c r="T49" s="2"/>
      <c r="U49" s="2"/>
    </row>
    <row r="50" spans="1:21" ht="32.1" customHeight="1">
      <c r="A50" s="53"/>
      <c r="C50" s="24"/>
      <c r="D50" s="24" t="s">
        <v>91</v>
      </c>
      <c r="E50" s="24">
        <v>292806</v>
      </c>
      <c r="F50" s="24">
        <v>2778358</v>
      </c>
      <c r="G50" s="24">
        <v>57.91</v>
      </c>
      <c r="H50" s="21"/>
      <c r="I50" s="21"/>
      <c r="J50" s="22">
        <v>3</v>
      </c>
      <c r="K50" s="22">
        <v>1</v>
      </c>
      <c r="L50" s="33">
        <f t="shared" si="0"/>
        <v>0.33333333333333331</v>
      </c>
      <c r="M50" s="30" t="s">
        <v>3</v>
      </c>
      <c r="N50" s="29" t="s">
        <v>63</v>
      </c>
      <c r="O50" s="20"/>
      <c r="P50" s="20"/>
      <c r="Q50" s="18" t="s">
        <v>74</v>
      </c>
      <c r="R50" s="106"/>
      <c r="S50" s="106"/>
      <c r="T50" s="2"/>
      <c r="U50" s="2"/>
    </row>
    <row r="51" spans="1:21" ht="32.1" customHeight="1">
      <c r="A51" s="53"/>
      <c r="C51" s="24"/>
      <c r="D51" s="24" t="s">
        <v>92</v>
      </c>
      <c r="E51" s="24">
        <v>292851</v>
      </c>
      <c r="F51" s="24">
        <v>2778306</v>
      </c>
      <c r="G51" s="24">
        <v>54.23</v>
      </c>
      <c r="H51" s="21"/>
      <c r="I51" s="21"/>
      <c r="J51" s="22">
        <v>1</v>
      </c>
      <c r="K51" s="22">
        <v>0</v>
      </c>
      <c r="L51" s="33">
        <f t="shared" si="0"/>
        <v>0</v>
      </c>
      <c r="M51" s="30">
        <v>1</v>
      </c>
      <c r="N51" s="29" t="s">
        <v>89</v>
      </c>
      <c r="O51" s="20"/>
      <c r="P51" s="20"/>
      <c r="Q51" s="18" t="s">
        <v>74</v>
      </c>
      <c r="R51" s="106"/>
      <c r="S51" s="106"/>
      <c r="T51" s="2"/>
      <c r="U51" s="2"/>
    </row>
    <row r="52" spans="1:21" ht="32.1" customHeight="1">
      <c r="A52" s="54"/>
      <c r="C52" s="24"/>
      <c r="D52" s="24" t="s">
        <v>93</v>
      </c>
      <c r="E52" s="24">
        <v>292839</v>
      </c>
      <c r="F52" s="24">
        <v>2778244</v>
      </c>
      <c r="G52" s="24">
        <v>52.19</v>
      </c>
      <c r="H52" s="21"/>
      <c r="I52" s="21"/>
      <c r="J52" s="22">
        <v>3</v>
      </c>
      <c r="K52" s="22">
        <v>0</v>
      </c>
      <c r="L52" s="33">
        <f t="shared" si="0"/>
        <v>0</v>
      </c>
      <c r="M52" s="30" t="s">
        <v>284</v>
      </c>
      <c r="N52" s="29" t="s">
        <v>285</v>
      </c>
      <c r="O52" s="20"/>
      <c r="P52" s="20"/>
      <c r="Q52" s="18" t="s">
        <v>74</v>
      </c>
      <c r="R52" s="106"/>
      <c r="S52" s="106"/>
      <c r="T52" s="2"/>
      <c r="U52" s="2"/>
    </row>
    <row r="53" spans="1:21" ht="32.1" customHeight="1">
      <c r="A53" s="55" t="s">
        <v>94</v>
      </c>
      <c r="B53" s="24" t="s">
        <v>98</v>
      </c>
      <c r="C53" s="24"/>
      <c r="D53" s="24"/>
      <c r="E53" s="24">
        <v>293563</v>
      </c>
      <c r="F53" s="24">
        <v>2779771</v>
      </c>
      <c r="G53" s="24">
        <v>230.81</v>
      </c>
      <c r="H53" s="21"/>
      <c r="I53" s="21"/>
      <c r="J53" s="22"/>
      <c r="K53" s="22"/>
      <c r="L53" s="33"/>
      <c r="M53" s="30"/>
      <c r="N53" s="29" t="s">
        <v>40</v>
      </c>
      <c r="O53" s="20"/>
      <c r="P53" s="20"/>
      <c r="Q53" s="18" t="s">
        <v>27</v>
      </c>
      <c r="R53" s="106"/>
      <c r="S53" s="106"/>
      <c r="T53" s="2"/>
      <c r="U53" s="2"/>
    </row>
    <row r="54" spans="1:21" ht="32.1" customHeight="1">
      <c r="A54" s="55"/>
      <c r="B54" s="56"/>
      <c r="C54" s="24" t="s">
        <v>97</v>
      </c>
      <c r="D54" s="24"/>
      <c r="E54" s="24">
        <v>293569</v>
      </c>
      <c r="F54" s="24">
        <v>2779687</v>
      </c>
      <c r="G54" s="24">
        <v>192.71</v>
      </c>
      <c r="H54" s="21"/>
      <c r="I54" s="21"/>
      <c r="J54" s="22"/>
      <c r="K54" s="22"/>
      <c r="L54" s="33"/>
      <c r="M54" s="30"/>
      <c r="N54" s="29" t="s">
        <v>99</v>
      </c>
      <c r="O54" s="20"/>
      <c r="P54" s="20"/>
      <c r="Q54" s="18" t="s">
        <v>27</v>
      </c>
      <c r="R54" s="106"/>
      <c r="S54" s="106"/>
      <c r="T54" s="2"/>
      <c r="U54" s="2"/>
    </row>
    <row r="55" spans="1:21" ht="32.1" customHeight="1">
      <c r="A55" s="55"/>
      <c r="B55" s="53"/>
      <c r="C55" s="24"/>
      <c r="D55" s="24" t="s">
        <v>95</v>
      </c>
      <c r="E55" s="24">
        <v>293595</v>
      </c>
      <c r="F55" s="24">
        <v>2779577</v>
      </c>
      <c r="G55" s="24">
        <v>167.15</v>
      </c>
      <c r="H55" s="21"/>
      <c r="I55" s="21"/>
      <c r="J55" s="22">
        <v>2</v>
      </c>
      <c r="K55" s="22" t="s">
        <v>0</v>
      </c>
      <c r="L55" s="33"/>
      <c r="M55" s="30" t="s">
        <v>2</v>
      </c>
      <c r="N55" s="29" t="s">
        <v>48</v>
      </c>
      <c r="O55" s="20"/>
      <c r="P55" s="20"/>
      <c r="Q55" s="18" t="s">
        <v>27</v>
      </c>
      <c r="R55" s="106"/>
      <c r="S55" s="106"/>
      <c r="T55" s="2"/>
      <c r="U55" s="2"/>
    </row>
    <row r="56" spans="1:21" ht="32.1" customHeight="1">
      <c r="A56" s="55"/>
      <c r="B56" s="54"/>
      <c r="C56" s="24"/>
      <c r="D56" s="24" t="s">
        <v>96</v>
      </c>
      <c r="E56" s="24">
        <v>293577</v>
      </c>
      <c r="F56" s="24">
        <v>2779516</v>
      </c>
      <c r="G56" s="24">
        <v>156.04</v>
      </c>
      <c r="H56" s="21"/>
      <c r="I56" s="21"/>
      <c r="J56" s="22">
        <v>4</v>
      </c>
      <c r="K56" s="22" t="s">
        <v>0</v>
      </c>
      <c r="L56" s="33"/>
      <c r="M56" s="30" t="s">
        <v>1</v>
      </c>
      <c r="N56" s="29" t="s">
        <v>46</v>
      </c>
      <c r="O56" s="20"/>
      <c r="P56" s="20"/>
      <c r="Q56" s="18" t="s">
        <v>27</v>
      </c>
      <c r="R56" s="106"/>
      <c r="S56" s="106"/>
      <c r="T56" s="2"/>
      <c r="U56" s="2"/>
    </row>
  </sheetData>
  <mergeCells count="13">
    <mergeCell ref="A2:A4"/>
    <mergeCell ref="A5:A7"/>
    <mergeCell ref="A8:A10"/>
    <mergeCell ref="A11:A13"/>
    <mergeCell ref="A14:A16"/>
    <mergeCell ref="A45:A52"/>
    <mergeCell ref="A53:A56"/>
    <mergeCell ref="B54:B56"/>
    <mergeCell ref="A17:A22"/>
    <mergeCell ref="A23:A26"/>
    <mergeCell ref="A27:A29"/>
    <mergeCell ref="A30:A38"/>
    <mergeCell ref="A39:A44"/>
  </mergeCells>
  <phoneticPr fontId="1" type="noConversion"/>
  <pageMargins left="0.25" right="0.25" top="0.75" bottom="0.75" header="0.3" footer="0.3"/>
  <pageSetup paperSize="9" scale="5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CEB9-3A0E-4BA5-8025-D346E49E7C88}">
  <dimension ref="A1:E30"/>
  <sheetViews>
    <sheetView workbookViewId="0">
      <selection activeCell="C29" sqref="C29"/>
    </sheetView>
  </sheetViews>
  <sheetFormatPr defaultRowHeight="16.5"/>
  <cols>
    <col min="1" max="1" width="9" style="3"/>
    <col min="2" max="2" width="49.75" style="3" customWidth="1"/>
    <col min="3" max="3" width="49.25" style="3" bestFit="1" customWidth="1"/>
    <col min="4" max="4" width="27.25" customWidth="1"/>
    <col min="5" max="5" width="31.75" bestFit="1" customWidth="1"/>
  </cols>
  <sheetData>
    <row r="1" spans="1:5">
      <c r="A1" s="3" t="s">
        <v>112</v>
      </c>
      <c r="B1" s="3" t="s">
        <v>286</v>
      </c>
      <c r="C1" s="3" t="s">
        <v>110</v>
      </c>
      <c r="D1" s="3" t="s">
        <v>287</v>
      </c>
      <c r="E1" s="3" t="s">
        <v>288</v>
      </c>
    </row>
    <row r="2" spans="1:5">
      <c r="A2" s="48" t="s">
        <v>289</v>
      </c>
      <c r="B2" s="43" t="s">
        <v>109</v>
      </c>
      <c r="C2" s="43" t="s">
        <v>111</v>
      </c>
      <c r="D2" t="s">
        <v>165</v>
      </c>
    </row>
    <row r="3" spans="1:5">
      <c r="A3" s="48"/>
      <c r="B3" s="43" t="s">
        <v>135</v>
      </c>
      <c r="C3" s="43" t="s">
        <v>136</v>
      </c>
    </row>
    <row r="4" spans="1:5">
      <c r="A4" s="48"/>
      <c r="B4" s="43" t="s">
        <v>134</v>
      </c>
      <c r="C4" s="43" t="s">
        <v>133</v>
      </c>
      <c r="D4" t="s">
        <v>486</v>
      </c>
    </row>
    <row r="5" spans="1:5">
      <c r="A5" s="48"/>
      <c r="B5" s="43" t="s">
        <v>115</v>
      </c>
      <c r="C5" s="43" t="s">
        <v>121</v>
      </c>
      <c r="D5" t="s">
        <v>253</v>
      </c>
    </row>
    <row r="6" spans="1:5">
      <c r="A6" s="49" t="s">
        <v>290</v>
      </c>
      <c r="B6" s="44" t="s">
        <v>143</v>
      </c>
      <c r="C6" s="44" t="s">
        <v>504</v>
      </c>
      <c r="E6" t="s">
        <v>188</v>
      </c>
    </row>
    <row r="7" spans="1:5">
      <c r="A7" s="49"/>
      <c r="B7" s="44" t="s">
        <v>116</v>
      </c>
      <c r="C7" s="44" t="s">
        <v>117</v>
      </c>
      <c r="D7" t="s">
        <v>254</v>
      </c>
    </row>
    <row r="8" spans="1:5">
      <c r="A8" s="49"/>
      <c r="B8" s="44" t="s">
        <v>139</v>
      </c>
      <c r="C8" s="44" t="s">
        <v>503</v>
      </c>
      <c r="D8" t="s">
        <v>165</v>
      </c>
    </row>
    <row r="9" spans="1:5">
      <c r="A9" s="50" t="s">
        <v>291</v>
      </c>
      <c r="B9" s="45" t="s">
        <v>118</v>
      </c>
      <c r="C9" s="45" t="s">
        <v>120</v>
      </c>
      <c r="E9" t="s">
        <v>257</v>
      </c>
    </row>
    <row r="10" spans="1:5">
      <c r="A10" s="50"/>
      <c r="B10" s="45" t="s">
        <v>119</v>
      </c>
      <c r="C10" s="45" t="s">
        <v>120</v>
      </c>
      <c r="D10" t="s">
        <v>255</v>
      </c>
    </row>
    <row r="11" spans="1:5">
      <c r="A11" s="50"/>
      <c r="B11" s="45" t="s">
        <v>140</v>
      </c>
      <c r="C11" s="45" t="s">
        <v>515</v>
      </c>
      <c r="D11" t="s">
        <v>255</v>
      </c>
      <c r="E11" t="s">
        <v>256</v>
      </c>
    </row>
    <row r="12" spans="1:5">
      <c r="A12" s="50"/>
      <c r="B12" s="45" t="s">
        <v>122</v>
      </c>
      <c r="C12" s="45" t="s">
        <v>123</v>
      </c>
    </row>
    <row r="13" spans="1:5">
      <c r="A13" s="52" t="s">
        <v>300</v>
      </c>
      <c r="B13" s="41" t="s">
        <v>124</v>
      </c>
      <c r="C13" s="41" t="s">
        <v>125</v>
      </c>
    </row>
    <row r="14" spans="1:5">
      <c r="A14" s="52"/>
      <c r="B14" s="41" t="s">
        <v>126</v>
      </c>
      <c r="C14" s="41" t="s">
        <v>500</v>
      </c>
    </row>
    <row r="15" spans="1:5">
      <c r="A15" s="52"/>
      <c r="B15" s="41" t="s">
        <v>127</v>
      </c>
      <c r="C15" s="41" t="s">
        <v>128</v>
      </c>
    </row>
    <row r="16" spans="1:5">
      <c r="A16" s="52"/>
      <c r="B16" s="41" t="s">
        <v>129</v>
      </c>
      <c r="C16" s="41" t="s">
        <v>130</v>
      </c>
    </row>
    <row r="17" spans="1:5">
      <c r="A17" s="52"/>
      <c r="B17" s="41" t="s">
        <v>131</v>
      </c>
      <c r="C17" s="41" t="s">
        <v>132</v>
      </c>
    </row>
    <row r="18" spans="1:5">
      <c r="A18" s="51" t="s">
        <v>292</v>
      </c>
      <c r="B18" s="46" t="s">
        <v>137</v>
      </c>
      <c r="C18" s="46" t="s">
        <v>138</v>
      </c>
    </row>
    <row r="19" spans="1:5">
      <c r="A19" s="51"/>
      <c r="B19" s="46" t="s">
        <v>141</v>
      </c>
      <c r="C19" s="46" t="s">
        <v>142</v>
      </c>
    </row>
    <row r="20" spans="1:5">
      <c r="A20" s="51"/>
      <c r="B20" s="46" t="s">
        <v>113</v>
      </c>
      <c r="C20" s="46" t="s">
        <v>114</v>
      </c>
      <c r="D20" t="s">
        <v>252</v>
      </c>
    </row>
    <row r="21" spans="1:5">
      <c r="A21" s="51"/>
      <c r="B21" s="46" t="s">
        <v>144</v>
      </c>
      <c r="C21" s="46" t="s">
        <v>502</v>
      </c>
      <c r="E21" t="s">
        <v>258</v>
      </c>
    </row>
    <row r="22" spans="1:5">
      <c r="A22" s="51"/>
      <c r="B22" s="46" t="s">
        <v>145</v>
      </c>
      <c r="C22" s="46" t="s">
        <v>501</v>
      </c>
      <c r="E22" t="s">
        <v>259</v>
      </c>
    </row>
    <row r="23" spans="1:5">
      <c r="A23" s="51"/>
      <c r="B23" s="46" t="s">
        <v>146</v>
      </c>
      <c r="C23" s="46" t="s">
        <v>147</v>
      </c>
      <c r="E23" t="s">
        <v>259</v>
      </c>
    </row>
    <row r="24" spans="1:5">
      <c r="A24" s="47" t="s">
        <v>301</v>
      </c>
      <c r="B24" s="42" t="s">
        <v>294</v>
      </c>
      <c r="C24" s="42" t="s">
        <v>299</v>
      </c>
      <c r="E24" t="s">
        <v>488</v>
      </c>
    </row>
    <row r="25" spans="1:5">
      <c r="A25" s="47"/>
      <c r="B25" s="42" t="s">
        <v>293</v>
      </c>
      <c r="C25" s="42" t="s">
        <v>298</v>
      </c>
      <c r="E25" t="s">
        <v>487</v>
      </c>
    </row>
    <row r="26" spans="1:5">
      <c r="A26" s="47"/>
      <c r="B26" s="42" t="s">
        <v>295</v>
      </c>
      <c r="C26" s="42" t="s">
        <v>299</v>
      </c>
    </row>
    <row r="27" spans="1:5">
      <c r="A27" s="47"/>
      <c r="B27" s="42" t="s">
        <v>296</v>
      </c>
      <c r="C27" s="42" t="s">
        <v>299</v>
      </c>
    </row>
    <row r="28" spans="1:5">
      <c r="A28" s="47"/>
      <c r="B28" s="42" t="s">
        <v>297</v>
      </c>
      <c r="C28" s="42" t="s">
        <v>299</v>
      </c>
    </row>
    <row r="29" spans="1:5">
      <c r="A29" s="47"/>
      <c r="B29" s="42" t="s">
        <v>302</v>
      </c>
      <c r="C29" s="42" t="s">
        <v>489</v>
      </c>
      <c r="D29" t="s">
        <v>490</v>
      </c>
    </row>
    <row r="30" spans="1:5">
      <c r="B30" s="3" t="s">
        <v>150</v>
      </c>
    </row>
  </sheetData>
  <mergeCells count="6">
    <mergeCell ref="A24:A29"/>
    <mergeCell ref="A2:A5"/>
    <mergeCell ref="A6:A8"/>
    <mergeCell ref="A9:A12"/>
    <mergeCell ref="A18:A23"/>
    <mergeCell ref="A13:A17"/>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62A6-395C-4F2B-881B-78BF3F886DD2}">
  <dimension ref="B2:J54"/>
  <sheetViews>
    <sheetView topLeftCell="B7" workbookViewId="0">
      <selection activeCell="G7" sqref="G7"/>
    </sheetView>
  </sheetViews>
  <sheetFormatPr defaultRowHeight="16.5"/>
  <cols>
    <col min="2" max="2" width="24.375" style="5" customWidth="1"/>
    <col min="3" max="4" width="9" style="5"/>
    <col min="5" max="5" width="14.5" style="5" customWidth="1"/>
    <col min="6" max="6" width="6.625" style="5" customWidth="1"/>
    <col min="7" max="7" width="18.625" style="5" customWidth="1"/>
    <col min="8" max="8" width="9" style="5"/>
    <col min="9" max="9" width="31.5" customWidth="1"/>
    <col min="10" max="10" width="18.125" style="6" customWidth="1"/>
  </cols>
  <sheetData>
    <row r="2" spans="2:10">
      <c r="B2" s="7" t="s">
        <v>158</v>
      </c>
      <c r="C2" s="7" t="s">
        <v>159</v>
      </c>
      <c r="D2" s="7" t="s">
        <v>103</v>
      </c>
      <c r="E2" s="7" t="s">
        <v>160</v>
      </c>
      <c r="F2" s="7" t="s">
        <v>161</v>
      </c>
      <c r="G2" s="7" t="s">
        <v>162</v>
      </c>
      <c r="H2" s="7" t="s">
        <v>163</v>
      </c>
      <c r="I2" s="3"/>
      <c r="J2" s="8"/>
    </row>
    <row r="3" spans="2:10" ht="82.5">
      <c r="B3" s="57" t="s">
        <v>164</v>
      </c>
      <c r="C3" s="10">
        <v>109</v>
      </c>
      <c r="D3" s="11" t="s">
        <v>165</v>
      </c>
      <c r="E3" s="9" t="s">
        <v>166</v>
      </c>
      <c r="F3" s="9"/>
      <c r="G3" s="12" t="s">
        <v>167</v>
      </c>
      <c r="H3" s="10"/>
    </row>
    <row r="4" spans="2:10">
      <c r="B4" s="57"/>
      <c r="C4" s="10">
        <v>110</v>
      </c>
      <c r="D4" s="13" t="s">
        <v>168</v>
      </c>
      <c r="E4" s="9" t="s">
        <v>169</v>
      </c>
      <c r="F4" s="9"/>
      <c r="G4" s="12" t="s">
        <v>170</v>
      </c>
      <c r="H4" s="10"/>
      <c r="I4" t="s">
        <v>154</v>
      </c>
      <c r="J4" s="6" t="s">
        <v>171</v>
      </c>
    </row>
    <row r="5" spans="2:10" ht="66">
      <c r="B5" s="57"/>
      <c r="C5" s="10">
        <v>110</v>
      </c>
      <c r="D5" s="11" t="s">
        <v>172</v>
      </c>
      <c r="E5" s="9" t="s">
        <v>173</v>
      </c>
      <c r="F5" s="9"/>
      <c r="G5" s="12" t="s">
        <v>174</v>
      </c>
      <c r="H5" s="10"/>
    </row>
    <row r="6" spans="2:10" ht="33">
      <c r="B6" s="57"/>
      <c r="C6" s="10">
        <v>112</v>
      </c>
      <c r="D6" s="11" t="s">
        <v>175</v>
      </c>
      <c r="E6" s="9" t="s">
        <v>176</v>
      </c>
      <c r="F6" s="9"/>
      <c r="G6" s="12" t="s">
        <v>177</v>
      </c>
      <c r="H6" s="10"/>
    </row>
    <row r="7" spans="2:10">
      <c r="B7" s="57"/>
      <c r="C7" s="10">
        <v>111</v>
      </c>
      <c r="D7" s="13" t="s">
        <v>178</v>
      </c>
      <c r="E7" s="9" t="s">
        <v>179</v>
      </c>
      <c r="F7" s="9"/>
      <c r="G7" s="10" t="s">
        <v>180</v>
      </c>
      <c r="H7" s="10"/>
      <c r="I7" t="s">
        <v>154</v>
      </c>
      <c r="J7" s="6" t="s">
        <v>181</v>
      </c>
    </row>
    <row r="8" spans="2:10">
      <c r="B8" s="14"/>
    </row>
    <row r="9" spans="2:10">
      <c r="B9" s="7" t="s">
        <v>158</v>
      </c>
      <c r="C9" s="7" t="s">
        <v>159</v>
      </c>
      <c r="D9" s="7" t="s">
        <v>103</v>
      </c>
      <c r="E9" s="7" t="s">
        <v>160</v>
      </c>
      <c r="F9" s="7" t="s">
        <v>161</v>
      </c>
      <c r="G9" s="7" t="s">
        <v>162</v>
      </c>
      <c r="H9" s="7" t="s">
        <v>163</v>
      </c>
    </row>
    <row r="10" spans="2:10">
      <c r="B10" s="58" t="s">
        <v>182</v>
      </c>
      <c r="C10" s="61">
        <v>112</v>
      </c>
      <c r="D10" s="64" t="s">
        <v>183</v>
      </c>
      <c r="E10" s="10" t="s">
        <v>184</v>
      </c>
      <c r="F10" s="10">
        <v>250.1</v>
      </c>
      <c r="G10" s="67" t="s">
        <v>130</v>
      </c>
      <c r="H10" s="68"/>
    </row>
    <row r="11" spans="2:10">
      <c r="B11" s="59"/>
      <c r="C11" s="62"/>
      <c r="D11" s="65"/>
      <c r="E11" s="10" t="s">
        <v>185</v>
      </c>
      <c r="F11" s="10">
        <v>226</v>
      </c>
      <c r="G11" s="67" t="s">
        <v>130</v>
      </c>
      <c r="H11" s="68"/>
    </row>
    <row r="12" spans="2:10">
      <c r="B12" s="59"/>
      <c r="C12" s="62"/>
      <c r="D12" s="65"/>
      <c r="E12" s="9" t="s">
        <v>186</v>
      </c>
      <c r="F12" s="9">
        <v>246.3</v>
      </c>
      <c r="G12" s="10" t="s">
        <v>187</v>
      </c>
      <c r="H12" s="10"/>
    </row>
    <row r="13" spans="2:10">
      <c r="B13" s="59"/>
      <c r="C13" s="62"/>
      <c r="D13" s="65"/>
      <c r="E13" s="9" t="s">
        <v>188</v>
      </c>
      <c r="F13" s="9">
        <v>226</v>
      </c>
      <c r="G13" s="10" t="s">
        <v>189</v>
      </c>
      <c r="H13" s="10"/>
      <c r="J13" s="15" t="s">
        <v>190</v>
      </c>
    </row>
    <row r="14" spans="2:10" ht="49.5">
      <c r="B14" s="59"/>
      <c r="C14" s="62"/>
      <c r="D14" s="65"/>
      <c r="E14" s="9" t="s">
        <v>191</v>
      </c>
      <c r="F14" s="9">
        <v>225.8</v>
      </c>
      <c r="G14" s="16" t="s">
        <v>192</v>
      </c>
      <c r="H14" s="10"/>
      <c r="I14" t="s">
        <v>155</v>
      </c>
    </row>
    <row r="15" spans="2:10">
      <c r="B15" s="59"/>
      <c r="C15" s="63"/>
      <c r="D15" s="66"/>
      <c r="E15" s="9" t="s">
        <v>193</v>
      </c>
      <c r="F15" s="9">
        <v>251.8</v>
      </c>
      <c r="G15" s="10" t="s">
        <v>194</v>
      </c>
      <c r="H15" s="10"/>
    </row>
    <row r="16" spans="2:10">
      <c r="B16" s="59"/>
      <c r="C16" s="61">
        <v>112</v>
      </c>
      <c r="D16" s="64" t="s">
        <v>195</v>
      </c>
      <c r="E16" s="9" t="s">
        <v>196</v>
      </c>
      <c r="F16" s="9">
        <v>237.5</v>
      </c>
      <c r="G16" s="67" t="s">
        <v>130</v>
      </c>
      <c r="H16" s="68"/>
    </row>
    <row r="17" spans="2:10" ht="33">
      <c r="B17" s="59"/>
      <c r="C17" s="62"/>
      <c r="D17" s="65"/>
      <c r="E17" s="9" t="s">
        <v>197</v>
      </c>
      <c r="F17" s="9">
        <v>248</v>
      </c>
      <c r="G17" s="16" t="s">
        <v>198</v>
      </c>
      <c r="H17" s="10"/>
    </row>
    <row r="18" spans="2:10">
      <c r="B18" s="59"/>
      <c r="C18" s="63"/>
      <c r="D18" s="66"/>
      <c r="E18" s="9" t="s">
        <v>199</v>
      </c>
      <c r="F18" s="9">
        <v>237.5</v>
      </c>
      <c r="G18" s="10" t="s">
        <v>200</v>
      </c>
      <c r="H18" s="10"/>
    </row>
    <row r="19" spans="2:10">
      <c r="B19" s="59"/>
      <c r="C19" s="61">
        <v>111</v>
      </c>
      <c r="D19" s="69" t="s">
        <v>201</v>
      </c>
      <c r="E19" s="9" t="s">
        <v>202</v>
      </c>
      <c r="F19" s="9">
        <v>216.6</v>
      </c>
      <c r="G19" s="67" t="s">
        <v>130</v>
      </c>
      <c r="H19" s="68"/>
    </row>
    <row r="20" spans="2:10" ht="33">
      <c r="B20" s="59"/>
      <c r="C20" s="63"/>
      <c r="D20" s="70"/>
      <c r="E20" s="9" t="s">
        <v>203</v>
      </c>
      <c r="F20" s="9">
        <v>215.6</v>
      </c>
      <c r="G20" s="12" t="s">
        <v>204</v>
      </c>
      <c r="H20" s="10"/>
      <c r="J20" s="6" t="s">
        <v>205</v>
      </c>
    </row>
    <row r="21" spans="2:10">
      <c r="B21" s="59"/>
      <c r="C21" s="61">
        <v>113</v>
      </c>
      <c r="D21" s="64" t="s">
        <v>206</v>
      </c>
      <c r="E21" s="9" t="s">
        <v>207</v>
      </c>
      <c r="F21" s="9"/>
      <c r="G21" s="67" t="s">
        <v>130</v>
      </c>
      <c r="H21" s="68"/>
    </row>
    <row r="22" spans="2:10">
      <c r="B22" s="59"/>
      <c r="C22" s="62"/>
      <c r="D22" s="65"/>
      <c r="E22" s="9" t="s">
        <v>208</v>
      </c>
      <c r="F22" s="9"/>
      <c r="G22" s="67" t="s">
        <v>130</v>
      </c>
      <c r="H22" s="68"/>
      <c r="J22" s="6" t="s">
        <v>209</v>
      </c>
    </row>
    <row r="23" spans="2:10">
      <c r="B23" s="59"/>
      <c r="C23" s="62"/>
      <c r="D23" s="65"/>
      <c r="E23" s="9" t="s">
        <v>210</v>
      </c>
      <c r="F23" s="9"/>
      <c r="G23" s="10" t="s">
        <v>211</v>
      </c>
      <c r="H23" s="10"/>
    </row>
    <row r="24" spans="2:10">
      <c r="B24" s="59"/>
      <c r="C24" s="62"/>
      <c r="D24" s="65"/>
      <c r="E24" s="9" t="s">
        <v>212</v>
      </c>
      <c r="F24" s="9"/>
      <c r="G24" s="9" t="s">
        <v>213</v>
      </c>
      <c r="H24" s="10"/>
    </row>
    <row r="25" spans="2:10" ht="33">
      <c r="B25" s="59"/>
      <c r="C25" s="62"/>
      <c r="D25" s="65"/>
      <c r="E25" s="9" t="s">
        <v>214</v>
      </c>
      <c r="F25" s="9"/>
      <c r="G25" s="16" t="s">
        <v>215</v>
      </c>
      <c r="H25" s="10"/>
      <c r="I25" t="s">
        <v>156</v>
      </c>
    </row>
    <row r="26" spans="2:10">
      <c r="B26" s="59"/>
      <c r="C26" s="62"/>
      <c r="D26" s="65"/>
      <c r="E26" s="9" t="s">
        <v>216</v>
      </c>
      <c r="F26" s="9"/>
      <c r="G26" s="9" t="s">
        <v>217</v>
      </c>
      <c r="H26" s="10"/>
    </row>
    <row r="27" spans="2:10">
      <c r="B27" s="59"/>
      <c r="C27" s="62"/>
      <c r="D27" s="65"/>
      <c r="E27" s="9" t="s">
        <v>218</v>
      </c>
      <c r="F27" s="9"/>
      <c r="G27" s="10" t="s">
        <v>219</v>
      </c>
      <c r="H27" s="10"/>
      <c r="J27" s="6" t="s">
        <v>220</v>
      </c>
    </row>
    <row r="28" spans="2:10">
      <c r="B28" s="59"/>
      <c r="C28" s="63"/>
      <c r="D28" s="66"/>
      <c r="E28" s="9" t="s">
        <v>221</v>
      </c>
      <c r="F28" s="9"/>
      <c r="G28" s="10" t="s">
        <v>222</v>
      </c>
      <c r="H28" s="10"/>
      <c r="J28" s="6" t="s">
        <v>223</v>
      </c>
    </row>
    <row r="29" spans="2:10">
      <c r="B29" s="59"/>
      <c r="C29" s="61">
        <v>114</v>
      </c>
      <c r="D29" s="64" t="s">
        <v>224</v>
      </c>
      <c r="E29" s="9" t="s">
        <v>225</v>
      </c>
      <c r="F29" s="9"/>
      <c r="G29" s="67" t="s">
        <v>130</v>
      </c>
      <c r="H29" s="68"/>
    </row>
    <row r="30" spans="2:10">
      <c r="B30" s="59"/>
      <c r="C30" s="62"/>
      <c r="D30" s="65"/>
      <c r="E30" s="9" t="s">
        <v>226</v>
      </c>
      <c r="F30" s="9"/>
      <c r="G30" s="71" t="s">
        <v>227</v>
      </c>
      <c r="H30" s="72"/>
      <c r="I30" t="s">
        <v>157</v>
      </c>
    </row>
    <row r="31" spans="2:10">
      <c r="B31" s="59"/>
      <c r="C31" s="62"/>
      <c r="D31" s="65"/>
      <c r="E31" s="9" t="s">
        <v>228</v>
      </c>
      <c r="F31" s="9"/>
      <c r="G31" s="73"/>
      <c r="H31" s="74"/>
    </row>
    <row r="32" spans="2:10">
      <c r="B32" s="59"/>
      <c r="C32" s="62"/>
      <c r="D32" s="65"/>
      <c r="E32" s="9" t="s">
        <v>229</v>
      </c>
      <c r="F32" s="9"/>
      <c r="G32" s="73"/>
      <c r="H32" s="74"/>
    </row>
    <row r="33" spans="2:8">
      <c r="B33" s="59"/>
      <c r="C33" s="63"/>
      <c r="D33" s="66"/>
      <c r="E33" s="9" t="s">
        <v>230</v>
      </c>
      <c r="F33" s="9"/>
      <c r="G33" s="75"/>
      <c r="H33" s="76"/>
    </row>
    <row r="34" spans="2:8">
      <c r="B34" s="59"/>
      <c r="C34" s="61">
        <v>114</v>
      </c>
      <c r="D34" s="64" t="s">
        <v>231</v>
      </c>
      <c r="E34" s="9" t="s">
        <v>232</v>
      </c>
      <c r="F34" s="9"/>
      <c r="G34" s="67" t="s">
        <v>130</v>
      </c>
      <c r="H34" s="68"/>
    </row>
    <row r="35" spans="2:8">
      <c r="B35" s="59"/>
      <c r="C35" s="62"/>
      <c r="D35" s="65"/>
      <c r="E35" s="9" t="s">
        <v>233</v>
      </c>
      <c r="F35" s="9"/>
      <c r="G35" s="71" t="s">
        <v>227</v>
      </c>
      <c r="H35" s="72"/>
    </row>
    <row r="36" spans="2:8">
      <c r="B36" s="59"/>
      <c r="C36" s="62"/>
      <c r="D36" s="65"/>
      <c r="E36" s="9" t="s">
        <v>234</v>
      </c>
      <c r="F36" s="9"/>
      <c r="G36" s="73"/>
      <c r="H36" s="74"/>
    </row>
    <row r="37" spans="2:8">
      <c r="B37" s="59"/>
      <c r="C37" s="62"/>
      <c r="D37" s="65"/>
      <c r="E37" s="9" t="s">
        <v>235</v>
      </c>
      <c r="F37" s="9"/>
      <c r="G37" s="73"/>
      <c r="H37" s="74"/>
    </row>
    <row r="38" spans="2:8">
      <c r="B38" s="59"/>
      <c r="C38" s="62"/>
      <c r="D38" s="65"/>
      <c r="E38" s="9" t="s">
        <v>236</v>
      </c>
      <c r="F38" s="9"/>
      <c r="G38" s="73"/>
      <c r="H38" s="74"/>
    </row>
    <row r="39" spans="2:8">
      <c r="B39" s="59"/>
      <c r="C39" s="62"/>
      <c r="D39" s="65"/>
      <c r="E39" s="9" t="s">
        <v>237</v>
      </c>
      <c r="F39" s="9"/>
      <c r="G39" s="73"/>
      <c r="H39" s="74"/>
    </row>
    <row r="40" spans="2:8">
      <c r="B40" s="60"/>
      <c r="C40" s="63"/>
      <c r="D40" s="66"/>
      <c r="E40" s="9" t="s">
        <v>238</v>
      </c>
      <c r="F40" s="9"/>
      <c r="G40" s="75"/>
      <c r="H40" s="76"/>
    </row>
    <row r="41" spans="2:8">
      <c r="B41" s="17"/>
    </row>
    <row r="42" spans="2:8">
      <c r="B42" s="7" t="s">
        <v>158</v>
      </c>
      <c r="C42" s="7" t="s">
        <v>159</v>
      </c>
      <c r="D42" s="7" t="s">
        <v>103</v>
      </c>
      <c r="E42" s="7" t="s">
        <v>160</v>
      </c>
      <c r="F42" s="7"/>
      <c r="G42" s="7" t="s">
        <v>162</v>
      </c>
      <c r="H42" s="7" t="s">
        <v>163</v>
      </c>
    </row>
    <row r="43" spans="2:8" ht="16.5" customHeight="1">
      <c r="B43" s="57" t="s">
        <v>239</v>
      </c>
      <c r="C43" s="61">
        <v>112</v>
      </c>
      <c r="D43" s="77" t="s">
        <v>240</v>
      </c>
      <c r="E43" s="9" t="s">
        <v>241</v>
      </c>
      <c r="F43" s="9"/>
      <c r="G43" s="9" t="s">
        <v>242</v>
      </c>
      <c r="H43" s="10"/>
    </row>
    <row r="44" spans="2:8">
      <c r="B44" s="57"/>
      <c r="C44" s="63"/>
      <c r="D44" s="78"/>
      <c r="E44" s="9" t="s">
        <v>243</v>
      </c>
      <c r="F44" s="9"/>
      <c r="G44" s="9" t="s">
        <v>244</v>
      </c>
      <c r="H44" s="10"/>
    </row>
    <row r="45" spans="2:8">
      <c r="B45" s="17"/>
    </row>
    <row r="46" spans="2:8">
      <c r="B46" s="7" t="s">
        <v>158</v>
      </c>
      <c r="C46" s="7" t="s">
        <v>159</v>
      </c>
      <c r="D46" s="7" t="s">
        <v>103</v>
      </c>
      <c r="E46" s="7" t="s">
        <v>160</v>
      </c>
      <c r="F46" s="7"/>
      <c r="G46" s="7" t="s">
        <v>162</v>
      </c>
      <c r="H46" s="7" t="s">
        <v>163</v>
      </c>
    </row>
    <row r="47" spans="2:8">
      <c r="B47" s="57" t="s">
        <v>245</v>
      </c>
      <c r="C47" s="61">
        <v>114</v>
      </c>
      <c r="D47" s="77" t="s">
        <v>246</v>
      </c>
      <c r="E47" s="10" t="s">
        <v>247</v>
      </c>
      <c r="F47" s="10"/>
      <c r="G47" s="9" t="s">
        <v>248</v>
      </c>
      <c r="H47" s="10"/>
    </row>
    <row r="48" spans="2:8">
      <c r="B48" s="57"/>
      <c r="C48" s="62"/>
      <c r="D48" s="79"/>
      <c r="E48" s="10" t="s">
        <v>249</v>
      </c>
      <c r="F48" s="10"/>
      <c r="G48" s="9" t="s">
        <v>250</v>
      </c>
      <c r="H48" s="10"/>
    </row>
    <row r="49" spans="2:8">
      <c r="B49" s="57"/>
      <c r="C49" s="63"/>
      <c r="D49" s="78"/>
      <c r="E49" s="10" t="s">
        <v>251</v>
      </c>
      <c r="F49" s="10"/>
      <c r="G49" s="10" t="s">
        <v>130</v>
      </c>
      <c r="H49" s="10"/>
    </row>
    <row r="50" spans="2:8">
      <c r="B50" s="17"/>
    </row>
    <row r="51" spans="2:8">
      <c r="B51" s="17"/>
    </row>
    <row r="52" spans="2:8">
      <c r="B52" s="17"/>
    </row>
    <row r="53" spans="2:8">
      <c r="B53" s="17"/>
    </row>
    <row r="54" spans="2:8">
      <c r="B54" s="17"/>
    </row>
  </sheetData>
  <mergeCells count="30">
    <mergeCell ref="B43:B44"/>
    <mergeCell ref="C43:C44"/>
    <mergeCell ref="D43:D44"/>
    <mergeCell ref="B47:B49"/>
    <mergeCell ref="C47:C49"/>
    <mergeCell ref="D47:D49"/>
    <mergeCell ref="C29:C33"/>
    <mergeCell ref="D29:D33"/>
    <mergeCell ref="G29:H29"/>
    <mergeCell ref="G30:H33"/>
    <mergeCell ref="C34:C40"/>
    <mergeCell ref="D34:D40"/>
    <mergeCell ref="G34:H34"/>
    <mergeCell ref="G35:H40"/>
    <mergeCell ref="B3:B7"/>
    <mergeCell ref="B10:B40"/>
    <mergeCell ref="C10:C15"/>
    <mergeCell ref="D10:D15"/>
    <mergeCell ref="G10:H10"/>
    <mergeCell ref="G11:H11"/>
    <mergeCell ref="C16:C18"/>
    <mergeCell ref="D16:D18"/>
    <mergeCell ref="G16:H16"/>
    <mergeCell ref="C19:C20"/>
    <mergeCell ref="D19:D20"/>
    <mergeCell ref="G19:H19"/>
    <mergeCell ref="C21:C28"/>
    <mergeCell ref="D21:D28"/>
    <mergeCell ref="G21:H21"/>
    <mergeCell ref="G22:H2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5CE3A-6232-49DB-88AC-2A58817E14FD}">
  <dimension ref="A1:I65"/>
  <sheetViews>
    <sheetView workbookViewId="0">
      <selection sqref="A1:XFD1048576"/>
    </sheetView>
  </sheetViews>
  <sheetFormatPr defaultRowHeight="15.75"/>
  <cols>
    <col min="1" max="3" width="9" style="88"/>
    <col min="4" max="4" width="16.5" style="88" customWidth="1"/>
    <col min="5" max="5" width="14.25" style="88" customWidth="1"/>
    <col min="6" max="6" width="14.25" style="89" customWidth="1"/>
    <col min="7" max="7" width="137.5" style="90" customWidth="1"/>
    <col min="8" max="8" width="16.875" style="82" customWidth="1"/>
    <col min="9" max="16384" width="9" style="82"/>
  </cols>
  <sheetData>
    <row r="1" spans="1:7" ht="16.5">
      <c r="A1" s="80" t="s">
        <v>317</v>
      </c>
      <c r="B1" s="80" t="s">
        <v>318</v>
      </c>
      <c r="C1" s="80" t="s">
        <v>319</v>
      </c>
      <c r="D1" s="80" t="s">
        <v>320</v>
      </c>
      <c r="E1" s="80" t="s">
        <v>321</v>
      </c>
      <c r="F1" s="81" t="s">
        <v>322</v>
      </c>
      <c r="G1" s="80" t="s">
        <v>323</v>
      </c>
    </row>
    <row r="2" spans="1:7">
      <c r="A2" s="83" t="s">
        <v>324</v>
      </c>
      <c r="B2" s="84" t="s">
        <v>325</v>
      </c>
      <c r="C2" s="85" t="s">
        <v>326</v>
      </c>
      <c r="D2" s="85" t="s">
        <v>327</v>
      </c>
      <c r="E2" s="85" t="s">
        <v>328</v>
      </c>
      <c r="F2" s="86"/>
      <c r="G2" s="87" t="s">
        <v>329</v>
      </c>
    </row>
    <row r="3" spans="1:7">
      <c r="A3" s="83"/>
      <c r="B3" s="85" t="s">
        <v>330</v>
      </c>
      <c r="C3" s="85" t="s">
        <v>326</v>
      </c>
      <c r="D3" s="85" t="s">
        <v>327</v>
      </c>
      <c r="E3" s="85" t="s">
        <v>331</v>
      </c>
      <c r="F3" s="86"/>
      <c r="G3" s="87" t="s">
        <v>332</v>
      </c>
    </row>
    <row r="4" spans="1:7">
      <c r="A4" s="83"/>
      <c r="B4" s="85" t="s">
        <v>333</v>
      </c>
      <c r="C4" s="85" t="s">
        <v>326</v>
      </c>
      <c r="D4" s="85" t="s">
        <v>327</v>
      </c>
      <c r="E4" s="85" t="s">
        <v>331</v>
      </c>
      <c r="F4" s="86"/>
      <c r="G4" s="87" t="s">
        <v>334</v>
      </c>
    </row>
    <row r="5" spans="1:7">
      <c r="A5" s="83"/>
      <c r="B5" s="85" t="s">
        <v>180</v>
      </c>
      <c r="C5" s="85" t="s">
        <v>326</v>
      </c>
      <c r="D5" s="85" t="s">
        <v>335</v>
      </c>
      <c r="E5" s="85" t="s">
        <v>336</v>
      </c>
      <c r="F5" s="86" t="s">
        <v>337</v>
      </c>
      <c r="G5" s="87" t="s">
        <v>338</v>
      </c>
    </row>
    <row r="6" spans="1:7">
      <c r="A6" s="83"/>
      <c r="B6" s="85" t="s">
        <v>339</v>
      </c>
      <c r="C6" s="85" t="s">
        <v>326</v>
      </c>
      <c r="D6" s="85" t="s">
        <v>340</v>
      </c>
      <c r="E6" s="85" t="s">
        <v>336</v>
      </c>
      <c r="F6" s="86"/>
      <c r="G6" s="87" t="s">
        <v>341</v>
      </c>
    </row>
    <row r="7" spans="1:7">
      <c r="A7" s="83"/>
      <c r="B7" s="85" t="s">
        <v>342</v>
      </c>
      <c r="C7" s="85" t="s">
        <v>326</v>
      </c>
      <c r="D7" s="85" t="s">
        <v>327</v>
      </c>
      <c r="E7" s="85" t="s">
        <v>328</v>
      </c>
      <c r="F7" s="86"/>
      <c r="G7" s="87" t="s">
        <v>343</v>
      </c>
    </row>
    <row r="8" spans="1:7">
      <c r="A8" s="83"/>
      <c r="B8" s="84" t="s">
        <v>344</v>
      </c>
      <c r="C8" s="83" t="s">
        <v>345</v>
      </c>
      <c r="D8" s="83"/>
      <c r="E8" s="83"/>
      <c r="F8" s="86"/>
      <c r="G8" s="87" t="s">
        <v>346</v>
      </c>
    </row>
    <row r="9" spans="1:7">
      <c r="A9" s="83"/>
      <c r="B9" s="85" t="s">
        <v>347</v>
      </c>
      <c r="C9" s="85" t="s">
        <v>326</v>
      </c>
      <c r="D9" s="85" t="s">
        <v>327</v>
      </c>
      <c r="E9" s="85" t="s">
        <v>328</v>
      </c>
      <c r="F9" s="86"/>
      <c r="G9" s="87" t="s">
        <v>348</v>
      </c>
    </row>
    <row r="10" spans="1:7">
      <c r="A10" s="83"/>
      <c r="B10" s="85" t="s">
        <v>349</v>
      </c>
      <c r="C10" s="85" t="s">
        <v>326</v>
      </c>
      <c r="D10" s="85" t="s">
        <v>350</v>
      </c>
      <c r="E10" s="85" t="s">
        <v>351</v>
      </c>
      <c r="F10" s="86" t="s">
        <v>352</v>
      </c>
      <c r="G10" s="87" t="s">
        <v>353</v>
      </c>
    </row>
    <row r="11" spans="1:7">
      <c r="A11" s="83"/>
      <c r="B11" s="85" t="s">
        <v>354</v>
      </c>
      <c r="C11" s="85" t="s">
        <v>351</v>
      </c>
      <c r="D11" s="85" t="s">
        <v>351</v>
      </c>
      <c r="E11" s="85" t="s">
        <v>351</v>
      </c>
      <c r="F11" s="86" t="s">
        <v>355</v>
      </c>
      <c r="G11" s="87" t="s">
        <v>356</v>
      </c>
    </row>
    <row r="12" spans="1:7">
      <c r="A12" s="83"/>
      <c r="B12" s="85" t="s">
        <v>222</v>
      </c>
      <c r="C12" s="85" t="s">
        <v>326</v>
      </c>
      <c r="D12" s="85" t="s">
        <v>327</v>
      </c>
      <c r="E12" s="85" t="s">
        <v>336</v>
      </c>
      <c r="F12" s="86" t="s">
        <v>357</v>
      </c>
      <c r="G12" s="87" t="s">
        <v>358</v>
      </c>
    </row>
    <row r="14" spans="1:7">
      <c r="A14" s="83" t="s">
        <v>359</v>
      </c>
      <c r="B14" s="85" t="s">
        <v>360</v>
      </c>
      <c r="C14" s="85" t="s">
        <v>326</v>
      </c>
      <c r="D14" s="85" t="s">
        <v>327</v>
      </c>
      <c r="E14" s="85" t="s">
        <v>336</v>
      </c>
      <c r="F14" s="86"/>
      <c r="G14" s="87" t="s">
        <v>361</v>
      </c>
    </row>
    <row r="15" spans="1:7">
      <c r="A15" s="83"/>
      <c r="B15" s="85" t="s">
        <v>362</v>
      </c>
      <c r="C15" s="85" t="s">
        <v>326</v>
      </c>
      <c r="D15" s="85"/>
      <c r="E15" s="85"/>
      <c r="F15" s="86"/>
      <c r="G15" s="87"/>
    </row>
    <row r="16" spans="1:7">
      <c r="A16" s="83"/>
      <c r="B16" s="85" t="s">
        <v>363</v>
      </c>
      <c r="C16" s="85" t="s">
        <v>326</v>
      </c>
      <c r="D16" s="85" t="s">
        <v>327</v>
      </c>
      <c r="E16" s="85" t="s">
        <v>328</v>
      </c>
      <c r="F16" s="86"/>
      <c r="G16" s="87" t="s">
        <v>364</v>
      </c>
    </row>
    <row r="17" spans="1:7">
      <c r="A17" s="83"/>
      <c r="B17" s="85" t="s">
        <v>365</v>
      </c>
      <c r="C17" s="85" t="s">
        <v>326</v>
      </c>
      <c r="D17" s="85" t="s">
        <v>327</v>
      </c>
      <c r="E17" s="85" t="s">
        <v>328</v>
      </c>
      <c r="F17" s="86"/>
      <c r="G17" s="87" t="s">
        <v>366</v>
      </c>
    </row>
    <row r="18" spans="1:7">
      <c r="A18" s="83"/>
      <c r="B18" s="85" t="s">
        <v>367</v>
      </c>
      <c r="C18" s="85" t="s">
        <v>130</v>
      </c>
      <c r="D18" s="85" t="s">
        <v>130</v>
      </c>
      <c r="E18" s="85"/>
      <c r="F18" s="86"/>
      <c r="G18" s="87" t="s">
        <v>368</v>
      </c>
    </row>
    <row r="19" spans="1:7">
      <c r="A19" s="83"/>
      <c r="B19" s="84" t="s">
        <v>369</v>
      </c>
      <c r="C19" s="85" t="s">
        <v>326</v>
      </c>
      <c r="D19" s="85" t="s">
        <v>327</v>
      </c>
      <c r="E19" s="85" t="s">
        <v>328</v>
      </c>
      <c r="F19" s="86"/>
      <c r="G19" s="87" t="s">
        <v>370</v>
      </c>
    </row>
    <row r="20" spans="1:7">
      <c r="A20" s="83"/>
      <c r="B20" s="84" t="s">
        <v>219</v>
      </c>
      <c r="C20" s="85" t="s">
        <v>326</v>
      </c>
      <c r="D20" s="85" t="s">
        <v>327</v>
      </c>
      <c r="E20" s="85" t="s">
        <v>331</v>
      </c>
      <c r="F20" s="86"/>
      <c r="G20" s="87" t="s">
        <v>371</v>
      </c>
    </row>
    <row r="21" spans="1:7">
      <c r="A21" s="83"/>
      <c r="B21" s="85" t="s">
        <v>372</v>
      </c>
      <c r="C21" s="85" t="s">
        <v>326</v>
      </c>
      <c r="D21" s="85" t="s">
        <v>327</v>
      </c>
      <c r="E21" s="85" t="s">
        <v>328</v>
      </c>
      <c r="F21" s="86"/>
      <c r="G21" s="87"/>
    </row>
    <row r="22" spans="1:7">
      <c r="A22" s="83"/>
      <c r="B22" s="85" t="s">
        <v>200</v>
      </c>
      <c r="C22" s="85" t="s">
        <v>326</v>
      </c>
      <c r="D22" s="85" t="s">
        <v>327</v>
      </c>
      <c r="E22" s="85" t="s">
        <v>328</v>
      </c>
      <c r="F22" s="86"/>
      <c r="G22" s="87"/>
    </row>
    <row r="23" spans="1:7">
      <c r="A23" s="83"/>
      <c r="B23" s="85" t="s">
        <v>373</v>
      </c>
      <c r="C23" s="85" t="s">
        <v>326</v>
      </c>
      <c r="D23" s="85" t="s">
        <v>327</v>
      </c>
      <c r="E23" s="85" t="s">
        <v>328</v>
      </c>
      <c r="F23" s="86"/>
      <c r="G23" s="87" t="s">
        <v>374</v>
      </c>
    </row>
    <row r="24" spans="1:7">
      <c r="A24" s="83"/>
      <c r="B24" s="85" t="s">
        <v>375</v>
      </c>
      <c r="C24" s="85" t="s">
        <v>376</v>
      </c>
      <c r="D24" s="85" t="s">
        <v>130</v>
      </c>
      <c r="E24" s="85" t="s">
        <v>130</v>
      </c>
      <c r="F24" s="86"/>
      <c r="G24" s="87" t="s">
        <v>377</v>
      </c>
    </row>
    <row r="25" spans="1:7">
      <c r="A25" s="83"/>
      <c r="B25" s="85" t="s">
        <v>378</v>
      </c>
      <c r="C25" s="85" t="s">
        <v>326</v>
      </c>
      <c r="D25" s="85" t="s">
        <v>327</v>
      </c>
      <c r="E25" s="85" t="s">
        <v>336</v>
      </c>
      <c r="F25" s="86"/>
      <c r="G25" s="87" t="s">
        <v>379</v>
      </c>
    </row>
    <row r="26" spans="1:7">
      <c r="A26" s="83"/>
      <c r="B26" s="85" t="s">
        <v>380</v>
      </c>
      <c r="C26" s="85" t="s">
        <v>326</v>
      </c>
      <c r="D26" s="85" t="s">
        <v>327</v>
      </c>
      <c r="E26" s="85" t="s">
        <v>336</v>
      </c>
      <c r="F26" s="86"/>
      <c r="G26" s="87" t="s">
        <v>381</v>
      </c>
    </row>
    <row r="27" spans="1:7">
      <c r="A27" s="83"/>
      <c r="B27" s="85" t="s">
        <v>194</v>
      </c>
      <c r="C27" s="85" t="s">
        <v>326</v>
      </c>
      <c r="D27" s="85" t="s">
        <v>327</v>
      </c>
      <c r="E27" s="85" t="s">
        <v>328</v>
      </c>
      <c r="F27" s="86"/>
      <c r="G27" s="87" t="s">
        <v>382</v>
      </c>
    </row>
    <row r="28" spans="1:7">
      <c r="A28" s="83"/>
      <c r="B28" s="85" t="s">
        <v>383</v>
      </c>
      <c r="C28" s="85" t="s">
        <v>326</v>
      </c>
      <c r="D28" s="85" t="s">
        <v>350</v>
      </c>
      <c r="E28" s="85" t="s">
        <v>351</v>
      </c>
      <c r="F28" s="86"/>
      <c r="G28" s="87"/>
    </row>
    <row r="30" spans="1:7">
      <c r="A30" s="91" t="s">
        <v>384</v>
      </c>
      <c r="B30" s="92" t="s">
        <v>385</v>
      </c>
      <c r="C30" s="85" t="s">
        <v>326</v>
      </c>
      <c r="D30" s="85" t="s">
        <v>327</v>
      </c>
      <c r="E30" s="85" t="s">
        <v>336</v>
      </c>
      <c r="F30" s="86" t="s">
        <v>386</v>
      </c>
      <c r="G30" s="87" t="s">
        <v>387</v>
      </c>
    </row>
    <row r="31" spans="1:7">
      <c r="A31" s="93"/>
      <c r="B31" s="85" t="s">
        <v>388</v>
      </c>
      <c r="C31" s="85" t="s">
        <v>376</v>
      </c>
      <c r="D31" s="85" t="s">
        <v>130</v>
      </c>
      <c r="E31" s="85" t="s">
        <v>130</v>
      </c>
      <c r="F31" s="86" t="s">
        <v>389</v>
      </c>
      <c r="G31" s="87" t="s">
        <v>390</v>
      </c>
    </row>
    <row r="33" spans="1:9">
      <c r="A33" s="83" t="s">
        <v>391</v>
      </c>
      <c r="B33" s="84" t="s">
        <v>392</v>
      </c>
      <c r="C33" s="85" t="s">
        <v>326</v>
      </c>
      <c r="D33" s="85" t="s">
        <v>327</v>
      </c>
      <c r="E33" s="85" t="s">
        <v>328</v>
      </c>
      <c r="F33" s="86" t="s">
        <v>393</v>
      </c>
      <c r="G33" s="87" t="s">
        <v>394</v>
      </c>
      <c r="H33" s="82" t="s">
        <v>395</v>
      </c>
      <c r="I33" s="82" t="s">
        <v>396</v>
      </c>
    </row>
    <row r="34" spans="1:9">
      <c r="A34" s="83"/>
      <c r="B34" s="85" t="s">
        <v>397</v>
      </c>
      <c r="C34" s="85" t="s">
        <v>326</v>
      </c>
      <c r="D34" s="85" t="s">
        <v>398</v>
      </c>
      <c r="E34" s="85" t="s">
        <v>336</v>
      </c>
      <c r="F34" s="86" t="s">
        <v>399</v>
      </c>
      <c r="G34" s="87" t="s">
        <v>400</v>
      </c>
    </row>
    <row r="35" spans="1:9">
      <c r="A35" s="83"/>
      <c r="B35" s="85" t="s">
        <v>401</v>
      </c>
      <c r="C35" s="85" t="s">
        <v>326</v>
      </c>
      <c r="D35" s="85" t="s">
        <v>327</v>
      </c>
      <c r="E35" s="85" t="s">
        <v>328</v>
      </c>
      <c r="F35" s="86" t="s">
        <v>402</v>
      </c>
      <c r="G35" s="87" t="s">
        <v>403</v>
      </c>
    </row>
    <row r="37" spans="1:9">
      <c r="A37" s="83" t="s">
        <v>404</v>
      </c>
      <c r="B37" s="85" t="s">
        <v>405</v>
      </c>
      <c r="C37" s="85" t="s">
        <v>326</v>
      </c>
      <c r="D37" s="85" t="s">
        <v>398</v>
      </c>
      <c r="E37" s="85" t="s">
        <v>336</v>
      </c>
      <c r="F37" s="86"/>
      <c r="G37" s="87" t="s">
        <v>406</v>
      </c>
    </row>
    <row r="38" spans="1:9">
      <c r="A38" s="83"/>
      <c r="B38" s="85" t="s">
        <v>407</v>
      </c>
      <c r="C38" s="85" t="s">
        <v>326</v>
      </c>
      <c r="D38" s="85" t="s">
        <v>327</v>
      </c>
      <c r="E38" s="85" t="s">
        <v>328</v>
      </c>
      <c r="F38" s="86" t="s">
        <v>408</v>
      </c>
      <c r="G38" s="87"/>
    </row>
    <row r="39" spans="1:9">
      <c r="A39" s="83"/>
      <c r="B39" s="84" t="s">
        <v>409</v>
      </c>
      <c r="C39" s="83" t="s">
        <v>410</v>
      </c>
      <c r="D39" s="83"/>
      <c r="E39" s="83"/>
      <c r="F39" s="86" t="s">
        <v>411</v>
      </c>
      <c r="G39" s="87" t="s">
        <v>412</v>
      </c>
    </row>
    <row r="41" spans="1:9">
      <c r="A41" s="83" t="s">
        <v>413</v>
      </c>
      <c r="B41" s="85" t="s">
        <v>414</v>
      </c>
      <c r="C41" s="85" t="s">
        <v>326</v>
      </c>
      <c r="D41" s="85" t="s">
        <v>415</v>
      </c>
      <c r="E41" s="85" t="s">
        <v>336</v>
      </c>
      <c r="F41" s="86"/>
      <c r="G41" s="87" t="s">
        <v>416</v>
      </c>
    </row>
    <row r="42" spans="1:9">
      <c r="A42" s="83"/>
      <c r="B42" s="85" t="s">
        <v>417</v>
      </c>
      <c r="C42" s="85" t="s">
        <v>326</v>
      </c>
      <c r="D42" s="85" t="s">
        <v>418</v>
      </c>
      <c r="E42" s="85" t="s">
        <v>331</v>
      </c>
      <c r="F42" s="86"/>
      <c r="G42" s="87" t="s">
        <v>419</v>
      </c>
    </row>
    <row r="43" spans="1:9">
      <c r="A43" s="83"/>
      <c r="B43" s="85" t="s">
        <v>420</v>
      </c>
      <c r="C43" s="83" t="s">
        <v>410</v>
      </c>
      <c r="D43" s="83"/>
      <c r="E43" s="83"/>
      <c r="F43" s="86"/>
      <c r="G43" s="87" t="s">
        <v>421</v>
      </c>
    </row>
    <row r="44" spans="1:9">
      <c r="A44" s="83"/>
      <c r="B44" s="85" t="s">
        <v>422</v>
      </c>
      <c r="C44" s="83" t="s">
        <v>410</v>
      </c>
      <c r="D44" s="83"/>
      <c r="E44" s="83"/>
      <c r="F44" s="86"/>
      <c r="G44" s="87" t="s">
        <v>421</v>
      </c>
    </row>
    <row r="45" spans="1:9">
      <c r="A45" s="83"/>
      <c r="B45" s="85" t="s">
        <v>423</v>
      </c>
      <c r="C45" s="85" t="s">
        <v>376</v>
      </c>
      <c r="D45" s="85" t="s">
        <v>424</v>
      </c>
      <c r="E45" s="85" t="s">
        <v>130</v>
      </c>
      <c r="F45" s="86" t="s">
        <v>425</v>
      </c>
      <c r="G45" s="87" t="s">
        <v>426</v>
      </c>
    </row>
    <row r="46" spans="1:9">
      <c r="A46" s="83"/>
      <c r="B46" s="85" t="s">
        <v>427</v>
      </c>
      <c r="C46" s="85" t="s">
        <v>376</v>
      </c>
      <c r="D46" s="85" t="s">
        <v>424</v>
      </c>
      <c r="E46" s="85" t="s">
        <v>130</v>
      </c>
      <c r="F46" s="86" t="s">
        <v>428</v>
      </c>
      <c r="G46" s="87" t="s">
        <v>429</v>
      </c>
    </row>
    <row r="47" spans="1:9">
      <c r="A47" s="83"/>
      <c r="B47" s="85" t="s">
        <v>430</v>
      </c>
      <c r="C47" s="85" t="s">
        <v>326</v>
      </c>
      <c r="D47" s="85" t="s">
        <v>415</v>
      </c>
      <c r="E47" s="85" t="s">
        <v>130</v>
      </c>
      <c r="F47" s="86"/>
      <c r="G47" s="87" t="s">
        <v>431</v>
      </c>
    </row>
    <row r="48" spans="1:9">
      <c r="A48" s="83"/>
      <c r="B48" s="84" t="s">
        <v>432</v>
      </c>
      <c r="C48" s="85" t="s">
        <v>326</v>
      </c>
      <c r="D48" s="85" t="s">
        <v>398</v>
      </c>
      <c r="E48" s="85" t="s">
        <v>336</v>
      </c>
      <c r="F48" s="86"/>
      <c r="G48" s="87" t="s">
        <v>433</v>
      </c>
    </row>
    <row r="50" spans="1:7">
      <c r="A50" s="83" t="s">
        <v>434</v>
      </c>
      <c r="B50" s="84" t="s">
        <v>435</v>
      </c>
      <c r="C50" s="85" t="s">
        <v>326</v>
      </c>
      <c r="D50" s="85" t="s">
        <v>436</v>
      </c>
      <c r="E50" s="85" t="s">
        <v>336</v>
      </c>
      <c r="F50" s="86"/>
      <c r="G50" s="87"/>
    </row>
    <row r="51" spans="1:7">
      <c r="A51" s="83"/>
      <c r="B51" s="85" t="s">
        <v>437</v>
      </c>
      <c r="C51" s="85" t="s">
        <v>326</v>
      </c>
      <c r="D51" s="85" t="s">
        <v>436</v>
      </c>
      <c r="E51" s="85" t="s">
        <v>336</v>
      </c>
      <c r="F51" s="86"/>
      <c r="G51" s="87" t="s">
        <v>438</v>
      </c>
    </row>
    <row r="52" spans="1:7">
      <c r="A52" s="83"/>
      <c r="B52" s="85" t="s">
        <v>439</v>
      </c>
      <c r="C52" s="83" t="s">
        <v>410</v>
      </c>
      <c r="D52" s="83"/>
      <c r="E52" s="83"/>
      <c r="F52" s="86"/>
      <c r="G52" s="87" t="s">
        <v>440</v>
      </c>
    </row>
    <row r="53" spans="1:7">
      <c r="A53" s="83"/>
      <c r="B53" s="85" t="s">
        <v>441</v>
      </c>
      <c r="C53" s="85" t="s">
        <v>326</v>
      </c>
      <c r="D53" s="85" t="s">
        <v>436</v>
      </c>
      <c r="E53" s="85" t="s">
        <v>336</v>
      </c>
      <c r="F53" s="86"/>
      <c r="G53" s="87" t="s">
        <v>442</v>
      </c>
    </row>
    <row r="54" spans="1:7">
      <c r="A54" s="83"/>
      <c r="B54" s="85" t="s">
        <v>443</v>
      </c>
      <c r="C54" s="83" t="s">
        <v>410</v>
      </c>
      <c r="D54" s="83"/>
      <c r="E54" s="83"/>
      <c r="F54" s="86"/>
      <c r="G54" s="87"/>
    </row>
    <row r="55" spans="1:7">
      <c r="A55" s="83"/>
      <c r="B55" s="85" t="s">
        <v>444</v>
      </c>
      <c r="C55" s="85" t="s">
        <v>326</v>
      </c>
      <c r="D55" s="85" t="s">
        <v>436</v>
      </c>
      <c r="E55" s="85" t="s">
        <v>336</v>
      </c>
      <c r="F55" s="94" t="s">
        <v>445</v>
      </c>
      <c r="G55" s="95" t="s">
        <v>446</v>
      </c>
    </row>
    <row r="56" spans="1:7">
      <c r="A56" s="83"/>
      <c r="B56" s="85" t="s">
        <v>447</v>
      </c>
      <c r="C56" s="85" t="s">
        <v>326</v>
      </c>
      <c r="D56" s="85" t="s">
        <v>436</v>
      </c>
      <c r="E56" s="85" t="s">
        <v>336</v>
      </c>
      <c r="F56" s="96"/>
      <c r="G56" s="97"/>
    </row>
    <row r="57" spans="1:7">
      <c r="A57" s="83"/>
      <c r="B57" s="85" t="s">
        <v>448</v>
      </c>
      <c r="C57" s="85" t="s">
        <v>326</v>
      </c>
      <c r="D57" s="85" t="s">
        <v>327</v>
      </c>
      <c r="E57" s="85" t="s">
        <v>336</v>
      </c>
      <c r="F57" s="86" t="s">
        <v>449</v>
      </c>
      <c r="G57" s="87"/>
    </row>
    <row r="58" spans="1:7">
      <c r="A58" s="83"/>
      <c r="B58" s="84" t="s">
        <v>450</v>
      </c>
      <c r="C58" s="85" t="s">
        <v>326</v>
      </c>
      <c r="D58" s="85" t="s">
        <v>436</v>
      </c>
      <c r="E58" s="85" t="s">
        <v>336</v>
      </c>
      <c r="F58" s="86" t="s">
        <v>451</v>
      </c>
      <c r="G58" s="87"/>
    </row>
    <row r="59" spans="1:7">
      <c r="A59" s="83"/>
      <c r="B59" s="85" t="s">
        <v>452</v>
      </c>
      <c r="C59" s="85" t="s">
        <v>326</v>
      </c>
      <c r="D59" s="85" t="s">
        <v>418</v>
      </c>
      <c r="E59" s="85" t="s">
        <v>331</v>
      </c>
      <c r="F59" s="86" t="s">
        <v>453</v>
      </c>
      <c r="G59" s="87" t="s">
        <v>454</v>
      </c>
    </row>
    <row r="61" spans="1:7" ht="31.5">
      <c r="A61" s="85" t="s">
        <v>455</v>
      </c>
      <c r="B61" s="84" t="s">
        <v>456</v>
      </c>
      <c r="C61" s="85" t="s">
        <v>326</v>
      </c>
      <c r="D61" s="85" t="s">
        <v>457</v>
      </c>
      <c r="E61" s="85" t="s">
        <v>336</v>
      </c>
      <c r="F61" s="86" t="s">
        <v>458</v>
      </c>
      <c r="G61" s="98" t="s">
        <v>459</v>
      </c>
    </row>
    <row r="63" spans="1:7">
      <c r="A63" s="83" t="s">
        <v>460</v>
      </c>
      <c r="B63" s="84" t="s">
        <v>461</v>
      </c>
      <c r="C63" s="85" t="s">
        <v>326</v>
      </c>
      <c r="D63" s="85" t="s">
        <v>462</v>
      </c>
      <c r="E63" s="85" t="s">
        <v>331</v>
      </c>
      <c r="F63" s="86"/>
      <c r="G63" s="87" t="s">
        <v>463</v>
      </c>
    </row>
    <row r="64" spans="1:7">
      <c r="A64" s="83"/>
      <c r="B64" s="84" t="s">
        <v>464</v>
      </c>
      <c r="C64" s="85" t="s">
        <v>326</v>
      </c>
      <c r="D64" s="85" t="s">
        <v>462</v>
      </c>
      <c r="E64" s="85" t="s">
        <v>331</v>
      </c>
      <c r="F64" s="86"/>
      <c r="G64" s="87" t="s">
        <v>465</v>
      </c>
    </row>
    <row r="65" spans="1:7">
      <c r="A65" s="83"/>
      <c r="B65" s="84" t="s">
        <v>466</v>
      </c>
      <c r="C65" s="85" t="s">
        <v>326</v>
      </c>
      <c r="D65" s="85" t="s">
        <v>462</v>
      </c>
      <c r="E65" s="85" t="s">
        <v>331</v>
      </c>
      <c r="F65" s="86"/>
      <c r="G65" s="87" t="s">
        <v>467</v>
      </c>
    </row>
  </sheetData>
  <mergeCells count="15">
    <mergeCell ref="G55:G56"/>
    <mergeCell ref="A63:A65"/>
    <mergeCell ref="A41:A48"/>
    <mergeCell ref="C43:E43"/>
    <mergeCell ref="C44:E44"/>
    <mergeCell ref="A50:A59"/>
    <mergeCell ref="C52:E52"/>
    <mergeCell ref="C54:E54"/>
    <mergeCell ref="A2:A12"/>
    <mergeCell ref="C8:E8"/>
    <mergeCell ref="A14:A28"/>
    <mergeCell ref="A30:A31"/>
    <mergeCell ref="A33:A35"/>
    <mergeCell ref="A37:A39"/>
    <mergeCell ref="C39:E3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F0E79-C3BC-407E-806E-F0516C601941}">
  <dimension ref="B1:N49"/>
  <sheetViews>
    <sheetView workbookViewId="0">
      <selection activeCell="H49" sqref="H2:H49"/>
    </sheetView>
  </sheetViews>
  <sheetFormatPr defaultRowHeight="16.5"/>
  <cols>
    <col min="1" max="1" width="2.25" style="6" customWidth="1"/>
    <col min="2" max="2" width="9" style="15"/>
    <col min="3" max="3" width="9" style="5"/>
    <col min="4" max="4" width="0.875" style="6" customWidth="1"/>
    <col min="5" max="5" width="9" style="15"/>
    <col min="6" max="6" width="9" style="99"/>
    <col min="7" max="7" width="6.625" style="6" customWidth="1"/>
    <col min="8" max="8" width="10" style="5" customWidth="1"/>
    <col min="9" max="9" width="9" style="99"/>
    <col min="10" max="10" width="9.5" style="99" bestFit="1" customWidth="1"/>
    <col min="11" max="11" width="7.75" style="6" customWidth="1"/>
    <col min="12" max="12" width="9" style="5"/>
    <col min="13" max="16384" width="9" style="6"/>
  </cols>
  <sheetData>
    <row r="1" spans="2:14" s="5" customFormat="1">
      <c r="B1" s="5" t="s">
        <v>468</v>
      </c>
      <c r="C1" s="5" t="s">
        <v>161</v>
      </c>
      <c r="E1" s="5" t="s">
        <v>469</v>
      </c>
      <c r="F1" s="5" t="s">
        <v>161</v>
      </c>
      <c r="H1" s="5" t="s">
        <v>470</v>
      </c>
      <c r="I1" s="5" t="s">
        <v>471</v>
      </c>
      <c r="J1" s="5" t="s">
        <v>472</v>
      </c>
    </row>
    <row r="2" spans="2:14">
      <c r="B2" s="15" t="s">
        <v>183</v>
      </c>
      <c r="C2" s="99">
        <v>258.2</v>
      </c>
      <c r="E2" s="15" t="s">
        <v>184</v>
      </c>
      <c r="F2" s="99">
        <v>250.1</v>
      </c>
      <c r="H2" s="5" t="s">
        <v>303</v>
      </c>
      <c r="I2" s="99">
        <f>C2-F2</f>
        <v>8.0999999999999943</v>
      </c>
      <c r="J2" s="99">
        <v>49</v>
      </c>
      <c r="M2" s="5"/>
      <c r="N2" s="5"/>
    </row>
    <row r="3" spans="2:14">
      <c r="B3" s="15" t="s">
        <v>184</v>
      </c>
      <c r="C3" s="99">
        <f>F$2</f>
        <v>250.1</v>
      </c>
      <c r="E3" s="15" t="s">
        <v>186</v>
      </c>
      <c r="F3" s="100">
        <v>246.3</v>
      </c>
      <c r="H3" s="5" t="s">
        <v>304</v>
      </c>
      <c r="I3" s="99">
        <f>C3-F3</f>
        <v>3.7999999999999829</v>
      </c>
      <c r="J3" s="99">
        <v>27</v>
      </c>
      <c r="K3" s="6">
        <v>27</v>
      </c>
      <c r="M3" s="5"/>
      <c r="N3" s="5"/>
    </row>
    <row r="4" spans="2:14">
      <c r="B4" s="15" t="s">
        <v>184</v>
      </c>
      <c r="C4" s="99">
        <f>F$2</f>
        <v>250.1</v>
      </c>
      <c r="E4" s="15" t="s">
        <v>185</v>
      </c>
      <c r="F4" s="99">
        <v>226</v>
      </c>
      <c r="H4" s="5" t="s">
        <v>305</v>
      </c>
      <c r="I4" s="99">
        <f>C4-F4</f>
        <v>24.099999999999994</v>
      </c>
      <c r="J4" s="99">
        <f>J3+K4</f>
        <v>166</v>
      </c>
      <c r="K4" s="6">
        <v>139</v>
      </c>
      <c r="M4" s="17"/>
      <c r="N4" s="17"/>
    </row>
    <row r="5" spans="2:14">
      <c r="B5" s="15" t="s">
        <v>185</v>
      </c>
      <c r="C5" s="99">
        <f>F$4</f>
        <v>226</v>
      </c>
      <c r="E5" s="15" t="s">
        <v>188</v>
      </c>
      <c r="F5" s="100">
        <v>226</v>
      </c>
      <c r="H5" s="5" t="s">
        <v>306</v>
      </c>
      <c r="I5" s="99">
        <f>C5-F5</f>
        <v>0</v>
      </c>
      <c r="J5" s="99">
        <f>K5</f>
        <v>0.5</v>
      </c>
      <c r="K5" s="6">
        <v>0.5</v>
      </c>
      <c r="M5" s="17"/>
      <c r="N5" s="17"/>
    </row>
    <row r="6" spans="2:14">
      <c r="B6" s="15" t="s">
        <v>185</v>
      </c>
      <c r="C6" s="99">
        <f>F$4</f>
        <v>226</v>
      </c>
      <c r="E6" s="15" t="s">
        <v>191</v>
      </c>
      <c r="F6" s="100">
        <v>225.8</v>
      </c>
      <c r="H6" s="5" t="s">
        <v>303</v>
      </c>
      <c r="I6" s="99">
        <f>C6-F6</f>
        <v>0.19999999999998863</v>
      </c>
      <c r="J6" s="99">
        <f>K6</f>
        <v>18</v>
      </c>
      <c r="K6" s="6">
        <v>18</v>
      </c>
      <c r="M6" s="17"/>
      <c r="N6" s="17"/>
    </row>
    <row r="7" spans="2:14">
      <c r="C7" s="99"/>
    </row>
    <row r="8" spans="2:14">
      <c r="C8" s="99"/>
    </row>
    <row r="9" spans="2:14">
      <c r="B9" s="15" t="s">
        <v>195</v>
      </c>
      <c r="C9" s="99">
        <v>249.1</v>
      </c>
      <c r="E9" s="15" t="s">
        <v>197</v>
      </c>
      <c r="F9" s="99">
        <v>248</v>
      </c>
      <c r="H9" s="5" t="s">
        <v>303</v>
      </c>
      <c r="I9" s="99">
        <f>C9-F9</f>
        <v>1.0999999999999943</v>
      </c>
      <c r="J9" s="99">
        <v>23</v>
      </c>
    </row>
    <row r="10" spans="2:14">
      <c r="B10" s="15" t="s">
        <v>195</v>
      </c>
      <c r="C10" s="99">
        <v>249.1</v>
      </c>
      <c r="E10" s="15" t="s">
        <v>196</v>
      </c>
      <c r="F10" s="99">
        <v>237.5</v>
      </c>
      <c r="H10" s="5" t="s">
        <v>305</v>
      </c>
      <c r="I10" s="99">
        <f>C10-F10</f>
        <v>11.599999999999994</v>
      </c>
      <c r="J10" s="99">
        <v>60</v>
      </c>
    </row>
    <row r="11" spans="2:14">
      <c r="B11" s="15" t="s">
        <v>196</v>
      </c>
      <c r="C11" s="99">
        <v>237.5</v>
      </c>
      <c r="E11" s="101" t="s">
        <v>199</v>
      </c>
      <c r="F11" s="99">
        <f>C11-0.8</f>
        <v>236.7</v>
      </c>
      <c r="H11" s="5" t="s">
        <v>305</v>
      </c>
      <c r="I11" s="99">
        <f>C11-F11</f>
        <v>0.80000000000001137</v>
      </c>
      <c r="J11" s="99">
        <v>1</v>
      </c>
    </row>
    <row r="12" spans="2:14">
      <c r="C12" s="99"/>
      <c r="E12" s="101"/>
      <c r="H12" s="5" t="s">
        <v>307</v>
      </c>
    </row>
    <row r="13" spans="2:14">
      <c r="C13" s="99"/>
    </row>
    <row r="14" spans="2:14">
      <c r="B14" s="15" t="s">
        <v>201</v>
      </c>
      <c r="C14" s="102"/>
      <c r="E14" s="15" t="s">
        <v>202</v>
      </c>
      <c r="F14" s="102"/>
      <c r="H14" s="5" t="s">
        <v>303</v>
      </c>
      <c r="I14" s="102"/>
      <c r="J14" s="102"/>
    </row>
    <row r="15" spans="2:14">
      <c r="B15" s="15" t="s">
        <v>202</v>
      </c>
      <c r="C15" s="102"/>
      <c r="E15" s="101" t="s">
        <v>203</v>
      </c>
      <c r="F15" s="102"/>
      <c r="H15" s="5" t="s">
        <v>305</v>
      </c>
      <c r="I15" s="102"/>
      <c r="J15" s="102"/>
    </row>
    <row r="16" spans="2:14">
      <c r="C16" s="102"/>
      <c r="E16" s="101"/>
      <c r="F16" s="102"/>
      <c r="H16" s="5" t="s">
        <v>307</v>
      </c>
      <c r="I16" s="102"/>
      <c r="J16" s="102"/>
    </row>
    <row r="17" spans="2:12">
      <c r="C17" s="99"/>
    </row>
    <row r="18" spans="2:12">
      <c r="B18" s="15" t="s">
        <v>206</v>
      </c>
      <c r="C18" s="103">
        <v>143.29</v>
      </c>
      <c r="E18" s="15" t="s">
        <v>207</v>
      </c>
      <c r="F18" s="103">
        <v>136.44999999999999</v>
      </c>
      <c r="H18" s="5" t="s">
        <v>308</v>
      </c>
      <c r="I18" s="103">
        <f>C18-F18</f>
        <v>6.8400000000000034</v>
      </c>
      <c r="J18" s="99">
        <v>40</v>
      </c>
    </row>
    <row r="19" spans="2:12">
      <c r="B19" s="15" t="s">
        <v>207</v>
      </c>
      <c r="C19" s="103">
        <v>138.5</v>
      </c>
      <c r="E19" s="104" t="s">
        <v>208</v>
      </c>
      <c r="F19" s="103">
        <v>138.4</v>
      </c>
      <c r="H19" s="5" t="s">
        <v>309</v>
      </c>
      <c r="I19" s="103">
        <f>C19-F19</f>
        <v>9.9999999999994316E-2</v>
      </c>
      <c r="J19" s="99">
        <v>1</v>
      </c>
    </row>
    <row r="20" spans="2:12">
      <c r="B20" s="15" t="s">
        <v>207</v>
      </c>
      <c r="C20" s="103">
        <f>C$19</f>
        <v>138.5</v>
      </c>
      <c r="E20" s="15" t="s">
        <v>473</v>
      </c>
      <c r="F20" s="103">
        <v>121.08</v>
      </c>
      <c r="H20" s="5" t="s">
        <v>310</v>
      </c>
      <c r="I20" s="103">
        <f t="shared" ref="I20:I28" si="0">C20-F20</f>
        <v>17.420000000000002</v>
      </c>
      <c r="J20" s="99">
        <v>120</v>
      </c>
      <c r="K20" s="6">
        <v>120</v>
      </c>
    </row>
    <row r="21" spans="2:12">
      <c r="B21" s="15" t="s">
        <v>473</v>
      </c>
      <c r="C21" s="103">
        <v>121.08</v>
      </c>
      <c r="E21" s="104" t="s">
        <v>474</v>
      </c>
      <c r="F21" s="103">
        <v>120.8</v>
      </c>
      <c r="H21" s="5" t="s">
        <v>311</v>
      </c>
      <c r="I21" s="103">
        <f t="shared" si="0"/>
        <v>0.28000000000000114</v>
      </c>
      <c r="J21" s="99">
        <v>8</v>
      </c>
    </row>
    <row r="22" spans="2:12">
      <c r="B22" s="15" t="s">
        <v>207</v>
      </c>
      <c r="C22" s="103">
        <f>C$19</f>
        <v>138.5</v>
      </c>
      <c r="E22" s="104" t="s">
        <v>475</v>
      </c>
      <c r="F22" s="103">
        <v>109.9</v>
      </c>
      <c r="H22" s="5" t="s">
        <v>312</v>
      </c>
      <c r="I22" s="103">
        <f t="shared" si="0"/>
        <v>28.599999999999994</v>
      </c>
      <c r="J22" s="99">
        <f>J20+K22</f>
        <v>221</v>
      </c>
      <c r="K22" s="6">
        <v>101</v>
      </c>
      <c r="L22" s="5" t="s">
        <v>380</v>
      </c>
    </row>
    <row r="23" spans="2:12">
      <c r="B23" s="15" t="s">
        <v>207</v>
      </c>
      <c r="C23" s="103">
        <f>C$19</f>
        <v>138.5</v>
      </c>
      <c r="E23" s="104" t="s">
        <v>476</v>
      </c>
      <c r="F23" s="103">
        <v>103.52</v>
      </c>
      <c r="H23" s="5" t="s">
        <v>312</v>
      </c>
      <c r="I23" s="103">
        <f t="shared" si="0"/>
        <v>34.980000000000004</v>
      </c>
      <c r="J23" s="99">
        <f>J22+K23</f>
        <v>307</v>
      </c>
      <c r="K23" s="6">
        <v>86</v>
      </c>
    </row>
    <row r="24" spans="2:12">
      <c r="B24" s="15" t="s">
        <v>207</v>
      </c>
      <c r="C24" s="103">
        <f>C$19</f>
        <v>138.5</v>
      </c>
      <c r="E24" s="104" t="s">
        <v>477</v>
      </c>
      <c r="F24" s="103">
        <v>96.45</v>
      </c>
      <c r="H24" s="5" t="s">
        <v>312</v>
      </c>
      <c r="I24" s="103">
        <f t="shared" si="0"/>
        <v>42.05</v>
      </c>
      <c r="J24" s="99">
        <f>J23+K24</f>
        <v>395</v>
      </c>
      <c r="K24" s="6">
        <v>88</v>
      </c>
      <c r="L24" s="5" t="s">
        <v>378</v>
      </c>
    </row>
    <row r="25" spans="2:12">
      <c r="B25" s="15" t="s">
        <v>207</v>
      </c>
      <c r="C25" s="103">
        <f>C$19</f>
        <v>138.5</v>
      </c>
      <c r="E25" s="104" t="s">
        <v>218</v>
      </c>
      <c r="F25" s="103">
        <v>92.73</v>
      </c>
      <c r="H25" s="5" t="s">
        <v>312</v>
      </c>
      <c r="I25" s="103">
        <f t="shared" si="0"/>
        <v>45.769999999999996</v>
      </c>
      <c r="J25" s="99">
        <f>J24+K25</f>
        <v>461</v>
      </c>
      <c r="K25" s="6">
        <v>66</v>
      </c>
    </row>
    <row r="26" spans="2:12" ht="6.75" customHeight="1">
      <c r="C26" s="99"/>
    </row>
    <row r="27" spans="2:12">
      <c r="B27" s="15" t="s">
        <v>207</v>
      </c>
      <c r="C27" s="103">
        <f>C$19</f>
        <v>138.5</v>
      </c>
      <c r="E27" s="104" t="s">
        <v>221</v>
      </c>
      <c r="F27" s="99">
        <v>90.33</v>
      </c>
      <c r="H27" s="5" t="s">
        <v>310</v>
      </c>
      <c r="I27" s="99">
        <f t="shared" si="0"/>
        <v>48.17</v>
      </c>
      <c r="J27" s="99">
        <f>J25+K27</f>
        <v>474</v>
      </c>
      <c r="K27" s="6">
        <v>13</v>
      </c>
    </row>
    <row r="28" spans="2:12">
      <c r="B28" s="15" t="s">
        <v>207</v>
      </c>
      <c r="C28" s="103">
        <f>C$19</f>
        <v>138.5</v>
      </c>
      <c r="E28" s="104" t="s">
        <v>478</v>
      </c>
      <c r="F28" s="99">
        <v>90.33</v>
      </c>
      <c r="H28" s="5" t="s">
        <v>313</v>
      </c>
      <c r="I28" s="99">
        <f t="shared" si="0"/>
        <v>48.17</v>
      </c>
      <c r="J28" s="99">
        <f>J27+K28</f>
        <v>474</v>
      </c>
    </row>
    <row r="29" spans="2:12">
      <c r="C29" s="99"/>
    </row>
    <row r="30" spans="2:12">
      <c r="C30" s="99"/>
    </row>
    <row r="31" spans="2:12">
      <c r="B31" s="15" t="s">
        <v>224</v>
      </c>
      <c r="C31" s="99">
        <v>99.8</v>
      </c>
      <c r="E31" s="15" t="s">
        <v>225</v>
      </c>
      <c r="F31" s="99">
        <v>89.9</v>
      </c>
      <c r="H31" s="5" t="s">
        <v>314</v>
      </c>
      <c r="I31" s="99">
        <f t="shared" ref="I31:I49" si="1">C31-F31</f>
        <v>9.8999999999999915</v>
      </c>
      <c r="J31" s="99">
        <v>164</v>
      </c>
    </row>
    <row r="32" spans="2:12">
      <c r="B32" s="15" t="s">
        <v>225</v>
      </c>
      <c r="C32" s="99">
        <f>F$31</f>
        <v>89.9</v>
      </c>
      <c r="E32" s="15" t="s">
        <v>479</v>
      </c>
      <c r="F32" s="99">
        <v>47.98</v>
      </c>
      <c r="H32" s="5" t="s">
        <v>315</v>
      </c>
      <c r="I32" s="99">
        <f t="shared" si="1"/>
        <v>41.920000000000009</v>
      </c>
      <c r="J32" s="99">
        <v>892</v>
      </c>
      <c r="L32" s="5">
        <v>892</v>
      </c>
    </row>
    <row r="33" spans="2:12">
      <c r="B33" s="15" t="s">
        <v>479</v>
      </c>
      <c r="C33" s="99">
        <f>F32</f>
        <v>47.98</v>
      </c>
      <c r="E33" s="15" t="s">
        <v>226</v>
      </c>
      <c r="F33" s="99">
        <v>51.18</v>
      </c>
      <c r="H33" s="5" t="s">
        <v>312</v>
      </c>
      <c r="I33" s="99">
        <f t="shared" si="1"/>
        <v>-3.2000000000000028</v>
      </c>
      <c r="J33" s="99">
        <f>L33</f>
        <v>63</v>
      </c>
      <c r="L33" s="5">
        <v>63</v>
      </c>
    </row>
    <row r="34" spans="2:12">
      <c r="B34" s="15" t="s">
        <v>225</v>
      </c>
      <c r="C34" s="99">
        <f>F$31</f>
        <v>89.9</v>
      </c>
      <c r="E34" s="15" t="s">
        <v>480</v>
      </c>
      <c r="F34" s="99">
        <v>44.55</v>
      </c>
      <c r="H34" s="5" t="s">
        <v>303</v>
      </c>
      <c r="I34" s="99">
        <f t="shared" si="1"/>
        <v>45.350000000000009</v>
      </c>
      <c r="J34" s="99">
        <f>J32+L34</f>
        <v>1167</v>
      </c>
      <c r="L34" s="5">
        <v>275</v>
      </c>
    </row>
    <row r="35" spans="2:12">
      <c r="B35" s="15" t="s">
        <v>480</v>
      </c>
      <c r="C35" s="99">
        <f>F34</f>
        <v>44.55</v>
      </c>
      <c r="E35" s="15" t="s">
        <v>228</v>
      </c>
      <c r="F35" s="99">
        <v>46.13</v>
      </c>
      <c r="H35" s="5" t="s">
        <v>312</v>
      </c>
      <c r="I35" s="99">
        <f t="shared" si="1"/>
        <v>-1.5800000000000054</v>
      </c>
      <c r="J35" s="99">
        <f>L35</f>
        <v>20</v>
      </c>
      <c r="L35" s="5">
        <v>20</v>
      </c>
    </row>
    <row r="36" spans="2:12">
      <c r="B36" s="15" t="s">
        <v>225</v>
      </c>
      <c r="C36" s="99">
        <f>F$31</f>
        <v>89.9</v>
      </c>
      <c r="E36" s="15" t="s">
        <v>481</v>
      </c>
      <c r="F36" s="99">
        <v>42.75</v>
      </c>
      <c r="H36" s="5" t="s">
        <v>303</v>
      </c>
      <c r="I36" s="99">
        <f t="shared" si="1"/>
        <v>47.150000000000006</v>
      </c>
      <c r="J36" s="99">
        <f>J34+L36</f>
        <v>1256</v>
      </c>
      <c r="L36" s="5">
        <v>89</v>
      </c>
    </row>
    <row r="37" spans="2:12">
      <c r="B37" s="15" t="s">
        <v>481</v>
      </c>
      <c r="C37" s="99">
        <f>F36</f>
        <v>42.75</v>
      </c>
      <c r="E37" s="15" t="s">
        <v>229</v>
      </c>
      <c r="F37" s="6">
        <v>42.1</v>
      </c>
      <c r="H37" s="5" t="s">
        <v>312</v>
      </c>
      <c r="I37" s="99">
        <f t="shared" si="1"/>
        <v>0.64999999999999858</v>
      </c>
      <c r="J37" s="99">
        <f>L37</f>
        <v>10</v>
      </c>
      <c r="L37" s="5">
        <v>10</v>
      </c>
    </row>
    <row r="38" spans="2:12">
      <c r="B38" s="15" t="s">
        <v>225</v>
      </c>
      <c r="C38" s="99">
        <f>F$31</f>
        <v>89.9</v>
      </c>
      <c r="E38" s="15" t="s">
        <v>230</v>
      </c>
      <c r="F38" s="99">
        <v>46.3</v>
      </c>
      <c r="H38" s="5" t="s">
        <v>312</v>
      </c>
      <c r="I38" s="99">
        <f t="shared" si="1"/>
        <v>43.600000000000009</v>
      </c>
      <c r="J38" s="99">
        <f>J36+L38</f>
        <v>1427</v>
      </c>
      <c r="L38" s="5">
        <v>171</v>
      </c>
    </row>
    <row r="39" spans="2:12">
      <c r="C39" s="99"/>
    </row>
    <row r="40" spans="2:12">
      <c r="B40" s="15" t="s">
        <v>231</v>
      </c>
      <c r="C40" s="99">
        <v>73</v>
      </c>
      <c r="E40" s="15" t="s">
        <v>482</v>
      </c>
      <c r="F40" s="99">
        <v>67.2</v>
      </c>
      <c r="H40" s="5" t="s">
        <v>312</v>
      </c>
      <c r="I40" s="99">
        <f t="shared" si="1"/>
        <v>5.7999999999999972</v>
      </c>
      <c r="J40" s="99">
        <v>177.5</v>
      </c>
    </row>
    <row r="41" spans="2:12">
      <c r="B41" s="15" t="s">
        <v>482</v>
      </c>
      <c r="C41" s="99">
        <f>F$40</f>
        <v>67.2</v>
      </c>
      <c r="E41" s="15" t="s">
        <v>233</v>
      </c>
      <c r="F41" s="99">
        <v>67.2</v>
      </c>
      <c r="H41" s="5" t="s">
        <v>307</v>
      </c>
      <c r="I41" s="99">
        <f t="shared" si="1"/>
        <v>0</v>
      </c>
      <c r="J41" s="99">
        <v>0.5</v>
      </c>
      <c r="L41" s="5">
        <v>154</v>
      </c>
    </row>
    <row r="42" spans="2:12">
      <c r="B42" s="15" t="s">
        <v>231</v>
      </c>
      <c r="C42" s="99">
        <v>58.1</v>
      </c>
      <c r="E42" s="15" t="s">
        <v>232</v>
      </c>
      <c r="F42" s="99">
        <v>57.9</v>
      </c>
      <c r="H42" s="5" t="s">
        <v>307</v>
      </c>
      <c r="I42" s="99">
        <f t="shared" si="1"/>
        <v>0.20000000000000284</v>
      </c>
      <c r="J42" s="99">
        <v>178</v>
      </c>
    </row>
    <row r="43" spans="2:12">
      <c r="B43" s="15" t="s">
        <v>232</v>
      </c>
      <c r="C43" s="99">
        <f>F$40</f>
        <v>67.2</v>
      </c>
      <c r="E43" s="15" t="s">
        <v>483</v>
      </c>
      <c r="F43" s="99">
        <v>58</v>
      </c>
      <c r="H43" s="5" t="s">
        <v>313</v>
      </c>
      <c r="I43" s="99">
        <f t="shared" si="1"/>
        <v>9.2000000000000028</v>
      </c>
      <c r="J43" s="99">
        <f>J42+L43</f>
        <v>205</v>
      </c>
      <c r="L43" s="5">
        <v>27</v>
      </c>
    </row>
    <row r="44" spans="2:12">
      <c r="B44" s="15" t="s">
        <v>483</v>
      </c>
      <c r="C44" s="99">
        <v>58.1</v>
      </c>
      <c r="E44" s="15" t="s">
        <v>234</v>
      </c>
      <c r="F44" s="99">
        <v>58.2</v>
      </c>
      <c r="H44" s="5" t="s">
        <v>316</v>
      </c>
      <c r="I44" s="99">
        <f t="shared" si="1"/>
        <v>-0.10000000000000142</v>
      </c>
      <c r="J44" s="99">
        <f>L44</f>
        <v>7</v>
      </c>
      <c r="L44" s="5">
        <v>7</v>
      </c>
    </row>
    <row r="45" spans="2:12">
      <c r="B45" s="15" t="s">
        <v>232</v>
      </c>
      <c r="C45" s="99">
        <f>F$40</f>
        <v>67.2</v>
      </c>
      <c r="E45" s="15" t="s">
        <v>484</v>
      </c>
      <c r="F45" s="99">
        <v>58</v>
      </c>
      <c r="H45" s="5" t="s">
        <v>313</v>
      </c>
      <c r="I45" s="99">
        <f t="shared" si="1"/>
        <v>9.2000000000000028</v>
      </c>
      <c r="J45" s="99">
        <f>J43+L45</f>
        <v>209</v>
      </c>
      <c r="L45" s="5">
        <v>4</v>
      </c>
    </row>
    <row r="46" spans="2:12">
      <c r="B46" s="15" t="s">
        <v>484</v>
      </c>
      <c r="C46" s="99">
        <v>58</v>
      </c>
      <c r="E46" s="15" t="s">
        <v>235</v>
      </c>
      <c r="F46" s="99">
        <v>57.9</v>
      </c>
      <c r="H46" s="5" t="s">
        <v>316</v>
      </c>
      <c r="I46" s="99">
        <f t="shared" si="1"/>
        <v>0.10000000000000142</v>
      </c>
      <c r="J46" s="99">
        <f>L46</f>
        <v>7</v>
      </c>
      <c r="L46" s="5">
        <v>7</v>
      </c>
    </row>
    <row r="47" spans="2:12">
      <c r="B47" s="15" t="s">
        <v>232</v>
      </c>
      <c r="C47" s="99">
        <f>F$40</f>
        <v>67.2</v>
      </c>
      <c r="E47" s="15" t="s">
        <v>485</v>
      </c>
      <c r="F47" s="99">
        <v>55.61</v>
      </c>
      <c r="H47" s="5" t="s">
        <v>312</v>
      </c>
      <c r="I47" s="99">
        <f t="shared" si="1"/>
        <v>11.590000000000003</v>
      </c>
      <c r="J47" s="99">
        <f>J45+L47</f>
        <v>296</v>
      </c>
      <c r="L47" s="5">
        <v>87</v>
      </c>
    </row>
    <row r="48" spans="2:12">
      <c r="B48" s="15" t="s">
        <v>485</v>
      </c>
      <c r="C48" s="99">
        <v>55.61</v>
      </c>
      <c r="E48" s="15" t="s">
        <v>236</v>
      </c>
      <c r="F48" s="99">
        <v>55.15</v>
      </c>
      <c r="H48" s="5" t="s">
        <v>307</v>
      </c>
      <c r="I48" s="99">
        <f t="shared" si="1"/>
        <v>0.46000000000000085</v>
      </c>
      <c r="J48" s="99">
        <f>L48</f>
        <v>5</v>
      </c>
      <c r="L48" s="5">
        <v>5</v>
      </c>
    </row>
    <row r="49" spans="2:12">
      <c r="B49" s="15" t="s">
        <v>232</v>
      </c>
      <c r="C49" s="99">
        <f>F$40</f>
        <v>67.2</v>
      </c>
      <c r="E49" s="15" t="s">
        <v>237</v>
      </c>
      <c r="F49" s="99">
        <v>52.2</v>
      </c>
      <c r="H49" s="5" t="s">
        <v>303</v>
      </c>
      <c r="I49" s="99">
        <f t="shared" si="1"/>
        <v>15</v>
      </c>
      <c r="J49" s="99">
        <f>J47+L49</f>
        <v>360</v>
      </c>
      <c r="L49" s="5">
        <v>64</v>
      </c>
    </row>
  </sheetData>
  <mergeCells count="2">
    <mergeCell ref="E11:E12"/>
    <mergeCell ref="E15:E1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具名範圍</vt:lpstr>
      </vt:variant>
      <vt:variant>
        <vt:i4>1</vt:i4>
      </vt:variant>
    </vt:vector>
  </HeadingPairs>
  <TitlesOfParts>
    <vt:vector size="6" baseType="lpstr">
      <vt:lpstr>總表</vt:lpstr>
      <vt:lpstr>缺失樣態</vt:lpstr>
      <vt:lpstr>接管名冊及電話</vt:lpstr>
      <vt:lpstr>五股農民民單</vt:lpstr>
      <vt:lpstr>設施尺寸</vt:lpstr>
      <vt:lpstr>總表!Print_Area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政憲 洪</dc:creator>
  <cp:lastModifiedBy>USER</cp:lastModifiedBy>
  <cp:lastPrinted>2026-04-15T08:58:55Z</cp:lastPrinted>
  <dcterms:created xsi:type="dcterms:W3CDTF">2026-04-15T08:43:30Z</dcterms:created>
  <dcterms:modified xsi:type="dcterms:W3CDTF">2026-05-27T03:07:11Z</dcterms:modified>
</cp:coreProperties>
</file>