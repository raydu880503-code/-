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Z:\03-農業發展與水資源保育\01-執行中專案\09-七星管理處_五股坑溪擴大灌溉服務推動暨觀音坑溪補充設計推動計畫\10-坑溝取水設施盤點資料\"/>
    </mc:Choice>
  </mc:AlternateContent>
  <xr:revisionPtr revIDLastSave="0" documentId="13_ncr:1_{B0C6A5E8-AEF6-4CB2-9179-EB05638DBC1A}" xr6:coauthVersionLast="47" xr6:coauthVersionMax="47" xr10:uidLastSave="{00000000-0000-0000-0000-000000000000}"/>
  <bookViews>
    <workbookView xWindow="390" yWindow="390" windowWidth="18735" windowHeight="14835" xr2:uid="{D12252B1-A546-42F9-B939-F6772EFAE5AD}"/>
  </bookViews>
  <sheets>
    <sheet name="五股農民民單" sheetId="1" r:id="rId1"/>
    <sheet name="坑溝取水接管清冊" sheetId="2" r:id="rId2"/>
    <sheet name="先不用看"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1" i="3" l="1"/>
  <c r="I42" i="3"/>
  <c r="I43" i="3"/>
  <c r="I44" i="3"/>
  <c r="I45" i="3"/>
  <c r="I46" i="3"/>
  <c r="I47" i="3"/>
  <c r="I48" i="3"/>
  <c r="I49" i="3"/>
  <c r="I40" i="3"/>
  <c r="J43" i="3"/>
  <c r="C49" i="3"/>
  <c r="C47" i="3"/>
  <c r="C45" i="3"/>
  <c r="C43" i="3"/>
  <c r="C41" i="3"/>
  <c r="J48" i="3"/>
  <c r="J46" i="3"/>
  <c r="J44" i="3"/>
  <c r="J45" i="3"/>
  <c r="J47" i="3" s="1"/>
  <c r="J49" i="3" s="1"/>
  <c r="J37" i="3"/>
  <c r="J35" i="3"/>
  <c r="J33" i="3"/>
  <c r="I31" i="3"/>
  <c r="C38" i="3"/>
  <c r="I38" i="3" s="1"/>
  <c r="C37" i="3"/>
  <c r="I37" i="3" s="1"/>
  <c r="C36" i="3"/>
  <c r="I36" i="3" s="1"/>
  <c r="C35" i="3"/>
  <c r="I35" i="3" s="1"/>
  <c r="C34" i="3"/>
  <c r="I34" i="3" s="1"/>
  <c r="C32" i="3"/>
  <c r="I32" i="3" s="1"/>
  <c r="C33" i="3"/>
  <c r="I33" i="3" s="1"/>
  <c r="J34" i="3"/>
  <c r="J6" i="3"/>
  <c r="J5" i="3"/>
  <c r="J4" i="3"/>
  <c r="I2" i="3"/>
  <c r="C6" i="3"/>
  <c r="I6" i="3" s="1"/>
  <c r="C5" i="3"/>
  <c r="I5" i="3" s="1"/>
  <c r="C3" i="3"/>
  <c r="I3" i="3" s="1"/>
  <c r="C4" i="3"/>
  <c r="I4" i="3" s="1"/>
  <c r="F11" i="3"/>
  <c r="I11" i="3" s="1"/>
  <c r="I10" i="3"/>
  <c r="I9" i="3"/>
  <c r="J22" i="3"/>
  <c r="J23" i="3" s="1"/>
  <c r="J24" i="3" s="1"/>
  <c r="J25" i="3" s="1"/>
  <c r="J27" i="3" s="1"/>
  <c r="J28" i="3" s="1"/>
  <c r="C25" i="3"/>
  <c r="I25" i="3" s="1"/>
  <c r="C28" i="3"/>
  <c r="I28" i="3" s="1"/>
  <c r="C27" i="3"/>
  <c r="I27" i="3" s="1"/>
  <c r="C24" i="3"/>
  <c r="I24" i="3" s="1"/>
  <c r="C23" i="3"/>
  <c r="I23" i="3" s="1"/>
  <c r="C20" i="3"/>
  <c r="I20" i="3" s="1"/>
  <c r="C22" i="3"/>
  <c r="I22" i="3" s="1"/>
  <c r="I18" i="3"/>
  <c r="I21" i="3"/>
  <c r="I19" i="3"/>
  <c r="J36" i="3" l="1"/>
  <c r="J38" i="3" l="1"/>
</calcChain>
</file>

<file path=xl/sharedStrings.xml><?xml version="1.0" encoding="utf-8"?>
<sst xmlns="http://schemas.openxmlformats.org/spreadsheetml/2006/main" count="541" uniqueCount="280">
  <si>
    <t>中直坑</t>
    <phoneticPr fontId="1" type="noConversion"/>
  </si>
  <si>
    <t>崩山坑</t>
    <phoneticPr fontId="1" type="noConversion"/>
  </si>
  <si>
    <t>觀音坑</t>
    <phoneticPr fontId="1" type="noConversion"/>
  </si>
  <si>
    <t>五股坑</t>
    <phoneticPr fontId="1" type="noConversion"/>
  </si>
  <si>
    <t>旗竿湖</t>
    <phoneticPr fontId="1" type="noConversion"/>
  </si>
  <si>
    <t>陳慶華</t>
    <phoneticPr fontId="1" type="noConversion"/>
  </si>
  <si>
    <t>姓名</t>
    <phoneticPr fontId="1" type="noConversion"/>
  </si>
  <si>
    <t>備註</t>
    <phoneticPr fontId="1" type="noConversion"/>
  </si>
  <si>
    <t>陳根永</t>
    <phoneticPr fontId="1" type="noConversion"/>
  </si>
  <si>
    <t>中W1~W3在慶華大哥家後面，109~113年度中直坑坑溝取水及智慧灌溉配合人。</t>
    <phoneticPr fontId="1" type="noConversion"/>
  </si>
  <si>
    <t>W5 末端、凌雲路三段及中直路交叉口巷子內、崩山坑及中直坑下游協助推動的人。</t>
    <phoneticPr fontId="1" type="noConversion"/>
  </si>
  <si>
    <t>壟鉤坑</t>
    <phoneticPr fontId="1" type="noConversion"/>
  </si>
  <si>
    <t>陳宏基</t>
    <phoneticPr fontId="1" type="noConversion"/>
  </si>
  <si>
    <t>湧泉取水、水源在私有地，是祖先與地主口頭談好使用至今，有自己的田間管路、對智慧灌溉有興趣</t>
    <phoneticPr fontId="1" type="noConversion"/>
  </si>
  <si>
    <t>伍春香</t>
    <phoneticPr fontId="1" type="noConversion"/>
  </si>
  <si>
    <t>崩W1下游農民、主要在幫崩山跟中直坑(九天玄女宮附近的地主代耕農地)</t>
    <phoneticPr fontId="1" type="noConversion"/>
  </si>
  <si>
    <t>黃三珊</t>
    <phoneticPr fontId="1" type="noConversion"/>
  </si>
  <si>
    <t>張海桐</t>
    <phoneticPr fontId="1" type="noConversion"/>
  </si>
  <si>
    <t>崩W3潛在受益戶，他希望崩W2溢流水接到崩W3，這樣他才願意接管</t>
    <phoneticPr fontId="1" type="noConversion"/>
  </si>
  <si>
    <t>陳致逸</t>
    <phoneticPr fontId="1" type="noConversion"/>
  </si>
  <si>
    <t>八里農會、陳信夫的小兒子</t>
    <phoneticPr fontId="1" type="noConversion"/>
  </si>
  <si>
    <t>陳信夫</t>
    <phoneticPr fontId="1" type="noConversion"/>
  </si>
  <si>
    <t>古厝在崩W4旁、崩山坑溪中上游的主要推動人、年紀大有點重聽、後來比較常找他姪子陳錦盛幫忙</t>
    <phoneticPr fontId="1" type="noConversion"/>
  </si>
  <si>
    <t>陳錦盛</t>
    <phoneticPr fontId="1" type="noConversion"/>
  </si>
  <si>
    <t>崩W3接管戶、崩山坑溪主要協助我們推動的人、主動幫忙維護管理崩W3、資誠影片有找他訪談</t>
    <phoneticPr fontId="1" type="noConversion"/>
  </si>
  <si>
    <t>陳錦輝</t>
    <phoneticPr fontId="1" type="noConversion"/>
  </si>
  <si>
    <t>崩W4土地公廟下游潛在延伸用戶、農地在崩山坑溪下游右岸、他已經跟地主喬好了，希望七星可以沿管到他那邊，並幫忙放一顆蓄水池</t>
    <phoneticPr fontId="1" type="noConversion"/>
  </si>
  <si>
    <t>御史坑</t>
    <phoneticPr fontId="1" type="noConversion"/>
  </si>
  <si>
    <t>涂泰郎</t>
    <phoneticPr fontId="1" type="noConversion"/>
  </si>
  <si>
    <t>御史坑中游農民，有在私有湧泉接管灌溉</t>
    <phoneticPr fontId="1" type="noConversion"/>
  </si>
  <si>
    <t>葉義雄</t>
    <phoneticPr fontId="1" type="noConversion"/>
  </si>
  <si>
    <t>御史坑上游農民，自農地旁水井抽水灌溉</t>
    <phoneticPr fontId="1" type="noConversion"/>
  </si>
  <si>
    <t>鄭義信</t>
    <phoneticPr fontId="1" type="noConversion"/>
  </si>
  <si>
    <t>太久沒聯絡忘記了，只記得在御史路上</t>
    <phoneticPr fontId="1" type="noConversion"/>
  </si>
  <si>
    <t>陳永堅</t>
    <phoneticPr fontId="1" type="noConversion"/>
  </si>
  <si>
    <t>御史坑下游農民，從湧泉接管灌溉，不得已時才從御史坑溪下游抽水(水質不好)</t>
    <phoneticPr fontId="1" type="noConversion"/>
  </si>
  <si>
    <t>吳國池</t>
    <phoneticPr fontId="1" type="noConversion"/>
  </si>
  <si>
    <t>吳澤民</t>
    <phoneticPr fontId="1" type="noConversion"/>
  </si>
  <si>
    <t>吳明順</t>
    <phoneticPr fontId="1" type="noConversion"/>
  </si>
  <si>
    <t>吳永田</t>
    <phoneticPr fontId="1" type="noConversion"/>
  </si>
  <si>
    <t>詹木火</t>
    <phoneticPr fontId="1" type="noConversion"/>
  </si>
  <si>
    <t>吳國池的弟弟，對田間管路有興趣，有自己的噴灌園區</t>
    <phoneticPr fontId="1" type="noConversion"/>
  </si>
  <si>
    <t>太久沒聯絡忘記了</t>
    <phoneticPr fontId="1" type="noConversion"/>
  </si>
  <si>
    <t>現在班長、住在旗竿湖旁邊那一間白色屋子裡</t>
    <phoneticPr fontId="1" type="noConversion"/>
  </si>
  <si>
    <t>林研熙</t>
    <phoneticPr fontId="1" type="noConversion"/>
  </si>
  <si>
    <t>廖正陽</t>
    <phoneticPr fontId="1" type="noConversion"/>
  </si>
  <si>
    <t>林國順</t>
    <phoneticPr fontId="1" type="noConversion"/>
  </si>
  <si>
    <t>中W5旁的接管農民，認同擴大灌溉服務，有申請過田間管路補助</t>
    <phoneticPr fontId="1" type="noConversion"/>
  </si>
  <si>
    <t>陳福</t>
    <phoneticPr fontId="1" type="noConversion"/>
  </si>
  <si>
    <t>崩W1下游農民，農地是地主租給他們耕作的，有在崩B1-2接管</t>
    <phoneticPr fontId="1" type="noConversion"/>
  </si>
  <si>
    <t>崩山坑的前班長，農地在崩山坑溪下游左岸，崩W4有一管預留要延伸給他，但他興致缺缺</t>
    <phoneticPr fontId="1" type="noConversion"/>
  </si>
  <si>
    <t>陳玉山</t>
    <phoneticPr fontId="1" type="noConversion"/>
  </si>
  <si>
    <t>陳永輝</t>
    <phoneticPr fontId="1" type="noConversion"/>
  </si>
  <si>
    <t>陳衍志</t>
    <phoneticPr fontId="1" type="noConversion"/>
  </si>
  <si>
    <t>陳文章</t>
    <phoneticPr fontId="1" type="noConversion"/>
  </si>
  <si>
    <t>張國炎</t>
  </si>
  <si>
    <t>張朴仁</t>
  </si>
  <si>
    <t>林炳祥</t>
  </si>
  <si>
    <t>吳文棋</t>
  </si>
  <si>
    <t>許水泉</t>
  </si>
  <si>
    <t>詹舜翔</t>
  </si>
  <si>
    <t>楊榮祿</t>
  </si>
  <si>
    <t>林志忠</t>
  </si>
  <si>
    <t>陳伯凱</t>
  </si>
  <si>
    <t>五股坑溪第一座坑溝取水示範區，五龍里14鄰鄰長</t>
    <phoneticPr fontId="1" type="noConversion"/>
  </si>
  <si>
    <t>五股坑溪上游青農，家</t>
    <phoneticPr fontId="1" type="noConversion"/>
  </si>
  <si>
    <t>灌溉</t>
    <phoneticPr fontId="1" type="noConversion"/>
  </si>
  <si>
    <t>水源</t>
    <phoneticPr fontId="1" type="noConversion"/>
  </si>
  <si>
    <t>分區</t>
    <phoneticPr fontId="1" type="noConversion"/>
  </si>
  <si>
    <t>有</t>
    <phoneticPr fontId="1" type="noConversion"/>
  </si>
  <si>
    <t>坑溝</t>
    <phoneticPr fontId="1" type="noConversion"/>
  </si>
  <si>
    <t>重力/動力</t>
    <phoneticPr fontId="1" type="noConversion"/>
  </si>
  <si>
    <t>坑溝、帆布蓄水</t>
    <phoneticPr fontId="1" type="noConversion"/>
  </si>
  <si>
    <t>重力</t>
    <phoneticPr fontId="1" type="noConversion"/>
  </si>
  <si>
    <t>動力抽水</t>
    <phoneticPr fontId="1" type="noConversion"/>
  </si>
  <si>
    <t>重力&amp;動力抽水</t>
    <phoneticPr fontId="1" type="noConversion"/>
  </si>
  <si>
    <t>林國明</t>
    <phoneticPr fontId="1" type="noConversion"/>
  </si>
  <si>
    <t>坑溝、水井</t>
    <phoneticPr fontId="1" type="noConversion"/>
  </si>
  <si>
    <t>-</t>
    <phoneticPr fontId="1" type="noConversion"/>
  </si>
  <si>
    <t>沒有資訊</t>
    <phoneticPr fontId="1" type="noConversion"/>
  </si>
  <si>
    <t>湧泉、水井</t>
    <phoneticPr fontId="1" type="noConversion"/>
  </si>
  <si>
    <t>坑溝、湧泉</t>
    <phoneticPr fontId="1" type="noConversion"/>
  </si>
  <si>
    <t>水井</t>
    <phoneticPr fontId="1" type="noConversion"/>
  </si>
  <si>
    <t>太久忘了</t>
    <phoneticPr fontId="1" type="noConversion"/>
  </si>
  <si>
    <t>陳振卿</t>
  </si>
  <si>
    <t>看天</t>
    <phoneticPr fontId="1" type="noConversion"/>
  </si>
  <si>
    <t>雨水儲留</t>
    <phoneticPr fontId="1" type="noConversion"/>
  </si>
  <si>
    <t>埤塘、水井</t>
    <phoneticPr fontId="1" type="noConversion"/>
  </si>
  <si>
    <t>李曜文</t>
    <phoneticPr fontId="1" type="noConversion"/>
  </si>
  <si>
    <t>李東來</t>
    <phoneticPr fontId="1" type="noConversion"/>
  </si>
  <si>
    <t>五股農會現任理事長</t>
    <phoneticPr fontId="1" type="noConversion"/>
  </si>
  <si>
    <t>中直坑有農地(接中W1水源)、崩山坑是親戚的地他負責耕作照顧(接崩W4水源)</t>
    <phoneticPr fontId="1" type="noConversion"/>
  </si>
  <si>
    <t>農會推舉的五股地區維護管理協助人</t>
    <phoneticPr fontId="1" type="noConversion"/>
  </si>
  <si>
    <t>江來有</t>
    <phoneticPr fontId="1" type="noConversion"/>
  </si>
  <si>
    <t>崩W4接管戶之一，有在崩山土地公廟上游不遠處的公廟後方分一管給他接</t>
    <phoneticPr fontId="1" type="noConversion"/>
  </si>
  <si>
    <t>戴榮讓</t>
  </si>
  <si>
    <t>戴榮讓</t>
    <phoneticPr fontId="1" type="noConversion"/>
  </si>
  <si>
    <t>崩W4接管戶之一，有在崩山土地公廟上游鐵皮屋旁分一管給他接，農會代表</t>
    <phoneticPr fontId="1" type="noConversion"/>
  </si>
  <si>
    <t>外寮</t>
    <phoneticPr fontId="1" type="noConversion"/>
  </si>
  <si>
    <t>林進煙</t>
    <phoneticPr fontId="1" type="noConversion"/>
  </si>
  <si>
    <t>蔡文亮</t>
    <phoneticPr fontId="1" type="noConversion"/>
  </si>
  <si>
    <t>埤塘</t>
    <phoneticPr fontId="1" type="noConversion"/>
  </si>
  <si>
    <t>農會代表、外寮P1埤塘地主之一、現主要聯絡人</t>
    <phoneticPr fontId="1" type="noConversion"/>
  </si>
  <si>
    <t>農會理事、以前的主要聯絡人</t>
    <phoneticPr fontId="1" type="noConversion"/>
  </si>
  <si>
    <t>林美惠</t>
    <phoneticPr fontId="1" type="noConversion"/>
  </si>
  <si>
    <t>前農會推廣部主任、跟其他人在外寮合租土地耕作菜園</t>
    <phoneticPr fontId="1" type="noConversion"/>
  </si>
  <si>
    <t>河溝</t>
    <phoneticPr fontId="1" type="noConversion"/>
  </si>
  <si>
    <t>鄭仕揆</t>
    <phoneticPr fontId="1" type="noConversion"/>
  </si>
  <si>
    <t>水保局早期做的埤塘引水，但分水設施在私有地內且距離公有地跟道路太遠，所以沒人接。
有湧泉、水井等資源願意共享，希望公布來改善大家一起用。</t>
    <phoneticPr fontId="1" type="noConversion"/>
  </si>
  <si>
    <t>埤塘、湧泉、水井</t>
    <phoneticPr fontId="1" type="noConversion"/>
  </si>
  <si>
    <t>陳林玉雲</t>
    <phoneticPr fontId="1" type="noConversion"/>
  </si>
  <si>
    <t>御史坑下游南側農民，農地在稜線上沒有水源只能靠雨水儲留跟看天</t>
    <phoneticPr fontId="1" type="noConversion"/>
  </si>
  <si>
    <t>御史坑下游北側農民，農地在稜線上沒有水源只能靠雨水儲留跟看天</t>
    <phoneticPr fontId="1" type="noConversion"/>
  </si>
  <si>
    <t>御史坑下游農民，農地內有湧泉、水井</t>
    <phoneticPr fontId="1" type="noConversion"/>
  </si>
  <si>
    <t>吳煌棋</t>
    <phoneticPr fontId="1" type="noConversion"/>
  </si>
  <si>
    <t>御史坑最上游埤塘地主，兩兄弟都願意提供溢流水或埤塘給周遭的人用，但前提是希望能改善埤塘高低差問題並將道路側溝水源截到埤塘內</t>
    <phoneticPr fontId="1" type="noConversion"/>
  </si>
  <si>
    <t>林國順的弟弟，中W4接管戶</t>
    <phoneticPr fontId="1" type="noConversion"/>
  </si>
  <si>
    <t>林世文</t>
    <phoneticPr fontId="1" type="noConversion"/>
  </si>
  <si>
    <t>林國明兒子，中W3接管戶</t>
    <phoneticPr fontId="1" type="noConversion"/>
  </si>
  <si>
    <t>陳汪鏗</t>
    <phoneticPr fontId="1" type="noConversion"/>
  </si>
  <si>
    <t>代稱：小狗農戶、中W1接管戶、農舍在中W2旁、文傑副座常說的有一對夫妻倆有跟七星道謝，也贊同坑溝取水的就是他們</t>
    <phoneticPr fontId="1" type="noConversion"/>
  </si>
  <si>
    <t>陳志長</t>
    <phoneticPr fontId="1" type="noConversion"/>
  </si>
  <si>
    <t>湧泉</t>
    <phoneticPr fontId="1" type="noConversion"/>
  </si>
  <si>
    <t>不清楚</t>
    <phoneticPr fontId="1" type="noConversion"/>
  </si>
  <si>
    <t>2年前有提到他老家附近有一處湧泉想改善可供大家使用，但後來聯絡不上，經在地協助打聽好像是打消念頭了</t>
    <phoneticPr fontId="1" type="noConversion"/>
  </si>
  <si>
    <t>楊明樺</t>
    <phoneticPr fontId="1" type="noConversion"/>
  </si>
  <si>
    <t>凌雲寺下游農地，訪談時表示這邊都老人了沒有人要接手，再做也沒幾年，不建議投入資源再這附近，之前楊海塗來推農村再生時這一代農民也都興致缺缺</t>
    <phoneticPr fontId="1" type="noConversion"/>
  </si>
  <si>
    <t>林青豊</t>
    <phoneticPr fontId="1" type="noConversion"/>
  </si>
  <si>
    <t>觀W1潛在受益戶，農地是375的租地</t>
    <phoneticPr fontId="1" type="noConversion"/>
  </si>
  <si>
    <t>陳信元</t>
    <phoneticPr fontId="1" type="noConversion"/>
  </si>
  <si>
    <t>中直路這一帶的班長，不在設施受益範圍內</t>
    <phoneticPr fontId="1" type="noConversion"/>
  </si>
  <si>
    <t>陳永輝</t>
  </si>
  <si>
    <r>
      <t>林青豊</t>
    </r>
    <r>
      <rPr>
        <sz val="12"/>
        <color rgb="FF000000"/>
        <rFont val="Times New Roman"/>
        <family val="1"/>
      </rPr>
      <t>(</t>
    </r>
    <r>
      <rPr>
        <sz val="12"/>
        <color rgb="FF000000"/>
        <rFont val="標楷體"/>
        <family val="4"/>
        <charset val="136"/>
      </rPr>
      <t>已預約</t>
    </r>
    <r>
      <rPr>
        <sz val="12"/>
        <color rgb="FF000000"/>
        <rFont val="Times New Roman"/>
        <family val="1"/>
      </rPr>
      <t>)</t>
    </r>
  </si>
  <si>
    <r>
      <t>陳明華</t>
    </r>
    <r>
      <rPr>
        <sz val="12"/>
        <color rgb="FF000000"/>
        <rFont val="Times New Roman"/>
        <family val="1"/>
      </rPr>
      <t>(</t>
    </r>
    <r>
      <rPr>
        <sz val="12"/>
        <color rgb="FF000000"/>
        <rFont val="標楷體"/>
        <family val="4"/>
        <charset val="136"/>
      </rPr>
      <t>已預約</t>
    </r>
    <r>
      <rPr>
        <sz val="12"/>
        <color rgb="FF000000"/>
        <rFont val="Times New Roman"/>
        <family val="1"/>
      </rPr>
      <t>)</t>
    </r>
  </si>
  <si>
    <t>陳文章</t>
  </si>
  <si>
    <r>
      <t>接管戶</t>
    </r>
    <r>
      <rPr>
        <sz val="12"/>
        <color rgb="FF000000"/>
        <rFont val="Times New Roman"/>
        <family val="1"/>
      </rPr>
      <t>9</t>
    </r>
  </si>
  <si>
    <t>中W1</t>
    <phoneticPr fontId="1" type="noConversion"/>
  </si>
  <si>
    <t>中B1</t>
    <phoneticPr fontId="1" type="noConversion"/>
  </si>
  <si>
    <t>中W2</t>
    <phoneticPr fontId="1" type="noConversion"/>
  </si>
  <si>
    <t>中B2</t>
    <phoneticPr fontId="1" type="noConversion"/>
  </si>
  <si>
    <t>中W3</t>
  </si>
  <si>
    <t>中W4</t>
  </si>
  <si>
    <t>中W5</t>
  </si>
  <si>
    <t>中B3</t>
  </si>
  <si>
    <t>中B4</t>
  </si>
  <si>
    <t>中B5</t>
  </si>
  <si>
    <t>崩W1</t>
    <phoneticPr fontId="1" type="noConversion"/>
  </si>
  <si>
    <t>崩B1-1</t>
    <phoneticPr fontId="1" type="noConversion"/>
  </si>
  <si>
    <t>崩W2</t>
    <phoneticPr fontId="1" type="noConversion"/>
  </si>
  <si>
    <t>崩W3</t>
    <phoneticPr fontId="1" type="noConversion"/>
  </si>
  <si>
    <t>崩B3</t>
    <phoneticPr fontId="1" type="noConversion"/>
  </si>
  <si>
    <t>崩W4</t>
    <phoneticPr fontId="1" type="noConversion"/>
  </si>
  <si>
    <t>崩4-1</t>
    <phoneticPr fontId="1" type="noConversion"/>
  </si>
  <si>
    <t>崩4-2</t>
  </si>
  <si>
    <t>崩4-3</t>
  </si>
  <si>
    <t>崩4-4</t>
  </si>
  <si>
    <t>崩4-5</t>
  </si>
  <si>
    <t>崩4-6</t>
  </si>
  <si>
    <t>崩1-1</t>
    <phoneticPr fontId="1" type="noConversion"/>
  </si>
  <si>
    <t>崩1-2</t>
    <phoneticPr fontId="1" type="noConversion"/>
  </si>
  <si>
    <t>崩1-3</t>
    <phoneticPr fontId="1" type="noConversion"/>
  </si>
  <si>
    <t>崩2-1</t>
    <phoneticPr fontId="1" type="noConversion"/>
  </si>
  <si>
    <t>崩2-2</t>
    <phoneticPr fontId="1" type="noConversion"/>
  </si>
  <si>
    <t>崩3-1</t>
    <phoneticPr fontId="1" type="noConversion"/>
  </si>
  <si>
    <t>崩4-7</t>
  </si>
  <si>
    <t>崩W5</t>
    <phoneticPr fontId="1" type="noConversion"/>
  </si>
  <si>
    <t>崩5-1</t>
    <phoneticPr fontId="1" type="noConversion"/>
  </si>
  <si>
    <t>崩5-2</t>
  </si>
  <si>
    <t>崩5-3</t>
  </si>
  <si>
    <t>崩5-4</t>
  </si>
  <si>
    <t>崩W6</t>
    <phoneticPr fontId="1" type="noConversion"/>
  </si>
  <si>
    <t>崩6-1</t>
    <phoneticPr fontId="1" type="noConversion"/>
  </si>
  <si>
    <t>崩6-2</t>
  </si>
  <si>
    <t>崩6-3</t>
  </si>
  <si>
    <t>崩6-4</t>
  </si>
  <si>
    <t>崩6-5</t>
  </si>
  <si>
    <t>崩6-6</t>
  </si>
  <si>
    <t>觀W1</t>
    <phoneticPr fontId="1" type="noConversion"/>
  </si>
  <si>
    <t>五W1</t>
    <phoneticPr fontId="1" type="noConversion"/>
  </si>
  <si>
    <t>五1-1</t>
    <phoneticPr fontId="1" type="noConversion"/>
  </si>
  <si>
    <t>五1-2</t>
  </si>
  <si>
    <t>五1-3</t>
  </si>
  <si>
    <t>觀1-1</t>
    <phoneticPr fontId="1" type="noConversion"/>
  </si>
  <si>
    <t>觀1-2</t>
    <phoneticPr fontId="1" type="noConversion"/>
  </si>
  <si>
    <t>陳文程
陳汪鏗
陳慶華
陳金樹
陳金傳</t>
    <phoneticPr fontId="1" type="noConversion"/>
  </si>
  <si>
    <t>取水設施</t>
    <phoneticPr fontId="1" type="noConversion"/>
  </si>
  <si>
    <t>接管用戶</t>
    <phoneticPr fontId="1" type="noConversion"/>
  </si>
  <si>
    <t>接管率</t>
    <phoneticPr fontId="1" type="noConversion"/>
  </si>
  <si>
    <t>建置年分</t>
    <phoneticPr fontId="1" type="noConversion"/>
  </si>
  <si>
    <t>集水區</t>
    <phoneticPr fontId="1" type="noConversion"/>
  </si>
  <si>
    <t>中直坑溪</t>
    <phoneticPr fontId="1" type="noConversion"/>
  </si>
  <si>
    <t>崩山坑溪</t>
    <phoneticPr fontId="1" type="noConversion"/>
  </si>
  <si>
    <t>觀音坑溪</t>
    <phoneticPr fontId="1" type="noConversion"/>
  </si>
  <si>
    <t>五股坑溪</t>
    <phoneticPr fontId="1" type="noConversion"/>
  </si>
  <si>
    <t>陳文程</t>
    <phoneticPr fontId="1" type="noConversion"/>
  </si>
  <si>
    <t>陳茂雄
陳衍志
林世文
陳添進</t>
    <phoneticPr fontId="1" type="noConversion"/>
  </si>
  <si>
    <t>林國明
陳良煙</t>
    <phoneticPr fontId="1" type="noConversion"/>
  </si>
  <si>
    <t>吳明月</t>
    <phoneticPr fontId="1" type="noConversion"/>
  </si>
  <si>
    <t>無動力揚水</t>
    <phoneticPr fontId="1" type="noConversion"/>
  </si>
  <si>
    <t>林延熙</t>
    <phoneticPr fontId="1" type="noConversion"/>
  </si>
  <si>
    <t>伍春香
黃明德
接管戶1(未查明)</t>
    <phoneticPr fontId="1" type="noConversion"/>
  </si>
  <si>
    <t>陳錦盛
李曜文</t>
    <phoneticPr fontId="1" type="noConversion"/>
  </si>
  <si>
    <t>李東來(已預約)
張海桐(已預約)</t>
    <phoneticPr fontId="1" type="noConversion"/>
  </si>
  <si>
    <t>接管戶2、3(未查明)</t>
    <phoneticPr fontId="1" type="noConversion"/>
  </si>
  <si>
    <t>吳見置
接管戶4、5(未查明)</t>
    <phoneticPr fontId="1" type="noConversion"/>
  </si>
  <si>
    <t>剛做好</t>
    <phoneticPr fontId="1" type="noConversion"/>
  </si>
  <si>
    <t>非常流水又與常流水的中W1靠太近，所以沒人想接</t>
    <phoneticPr fontId="1" type="noConversion"/>
  </si>
  <si>
    <t>非常流水，僅降雨當下坑溝有水</t>
    <phoneticPr fontId="1" type="noConversion"/>
  </si>
  <si>
    <t>非常流水，取水點水質沒問題，但在地農民眼光只看到非常流水+取水點下游鐵質含量高，所以不想接，要等崩W2溢流水接過來才要接管</t>
    <phoneticPr fontId="1" type="noConversion"/>
  </si>
  <si>
    <t>陳信夫家旁，分水箱放在他果園旁邊，但他是更高處的菜園需要水，所以這個位置比較像事備用點位</t>
    <phoneticPr fontId="1" type="noConversion"/>
  </si>
  <si>
    <t>陳衍志現在接的是本來要預留給下游左岸高處農地的陳福班長用的位置，但陳福覺得年紀大了再做沒幾年所以不想接，陳衍志正常應該要接崩4-6的位置才對</t>
    <phoneticPr fontId="1" type="noConversion"/>
  </si>
  <si>
    <t>陳錦輝是下游右岸高處農地的農民，崩4-7其中一管是要給他的，他從4-6接管會因為水頭不足送不到他的田區，他已經跟地主喬好了，下一期延伸工程可以做這邊(4-7延伸到陳錦輝農地</t>
    <phoneticPr fontId="1" type="noConversion"/>
  </si>
  <si>
    <t>總幹事當初交代分管接到私人土地內，預留後續有這些私人土地的人有提出需求在來考慮延伸</t>
    <phoneticPr fontId="1" type="noConversion"/>
  </si>
  <si>
    <t>林延熙表示之前有跟吳明月談過，可以在崩1-1跟1-2之間放置蓄水塔，雖然那個位置會被吳明月的私有地包起來他們不好進入，但既然吳明月同意可以讓他們進出那就沒關係</t>
    <phoneticPr fontId="1" type="noConversion"/>
  </si>
  <si>
    <t>高程</t>
    <phoneticPr fontId="1" type="noConversion"/>
  </si>
  <si>
    <t>崩B2</t>
    <phoneticPr fontId="1" type="noConversion"/>
  </si>
  <si>
    <t>崩B1-2</t>
    <phoneticPr fontId="1" type="noConversion"/>
  </si>
  <si>
    <t>崩B4</t>
    <phoneticPr fontId="1" type="noConversion"/>
  </si>
  <si>
    <t>崩B5</t>
    <phoneticPr fontId="1" type="noConversion"/>
  </si>
  <si>
    <t>崩B6</t>
    <phoneticPr fontId="1" type="noConversion"/>
  </si>
  <si>
    <t>分水箱/管組</t>
    <phoneticPr fontId="1" type="noConversion"/>
  </si>
  <si>
    <t>距離</t>
    <phoneticPr fontId="1" type="noConversion"/>
  </si>
  <si>
    <t>管徑</t>
    <phoneticPr fontId="1" type="noConversion"/>
  </si>
  <si>
    <t>上游設施</t>
    <phoneticPr fontId="1" type="noConversion"/>
  </si>
  <si>
    <t>下游設施</t>
    <phoneticPr fontId="1" type="noConversion"/>
  </si>
  <si>
    <t>高程差</t>
    <phoneticPr fontId="1" type="noConversion"/>
  </si>
  <si>
    <t>崩4-2</t>
    <phoneticPr fontId="1" type="noConversion"/>
  </si>
  <si>
    <t>崩4-3</t>
    <phoneticPr fontId="1" type="noConversion"/>
  </si>
  <si>
    <t>崩4-4</t>
    <phoneticPr fontId="1" type="noConversion"/>
  </si>
  <si>
    <t>崩4-5</t>
    <phoneticPr fontId="1" type="noConversion"/>
  </si>
  <si>
    <t>崩4-8</t>
  </si>
  <si>
    <t>2"</t>
    <phoneticPr fontId="1" type="noConversion"/>
  </si>
  <si>
    <t>3"</t>
    <phoneticPr fontId="1" type="noConversion"/>
  </si>
  <si>
    <t>3/4"</t>
    <phoneticPr fontId="1" type="noConversion"/>
  </si>
  <si>
    <t>1"</t>
    <phoneticPr fontId="1" type="noConversion"/>
  </si>
  <si>
    <t>4"+2"</t>
    <phoneticPr fontId="1" type="noConversion"/>
  </si>
  <si>
    <t>3"+2"</t>
    <phoneticPr fontId="1" type="noConversion"/>
  </si>
  <si>
    <t>2"-&gt;3/4"</t>
    <phoneticPr fontId="1" type="noConversion"/>
  </si>
  <si>
    <t>2"-&gt; 3/4"</t>
    <phoneticPr fontId="1" type="noConversion"/>
  </si>
  <si>
    <t>2"-&gt; 1"</t>
    <phoneticPr fontId="1" type="noConversion"/>
  </si>
  <si>
    <t>2"-&gt; 1.5"</t>
    <phoneticPr fontId="1" type="noConversion"/>
  </si>
  <si>
    <t>1"-&gt;3/4"</t>
    <phoneticPr fontId="1" type="noConversion"/>
  </si>
  <si>
    <t>支管</t>
    <phoneticPr fontId="1" type="noConversion"/>
  </si>
  <si>
    <t>3"-&gt;3/4"</t>
    <phoneticPr fontId="1" type="noConversion"/>
  </si>
  <si>
    <t>3"-&gt;2"</t>
    <phoneticPr fontId="1" type="noConversion"/>
  </si>
  <si>
    <t>崩支5-1</t>
    <phoneticPr fontId="1" type="noConversion"/>
  </si>
  <si>
    <t>崩支5-2</t>
    <phoneticPr fontId="1" type="noConversion"/>
  </si>
  <si>
    <t>崩支5-3</t>
    <phoneticPr fontId="1" type="noConversion"/>
  </si>
  <si>
    <t>崩支6-1</t>
    <phoneticPr fontId="1" type="noConversion"/>
  </si>
  <si>
    <t>崩支6-2</t>
    <phoneticPr fontId="1" type="noConversion"/>
  </si>
  <si>
    <t>崩支6-3</t>
    <phoneticPr fontId="1" type="noConversion"/>
  </si>
  <si>
    <t>崩支6-4</t>
    <phoneticPr fontId="1" type="noConversion"/>
  </si>
  <si>
    <t xml:space="preserve">1.5"-&gt;3/4" </t>
    <phoneticPr fontId="1" type="noConversion"/>
  </si>
  <si>
    <t>02-22938692</t>
    <phoneticPr fontId="1" type="noConversion"/>
  </si>
  <si>
    <t>0920-422-052</t>
    <phoneticPr fontId="1" type="noConversion"/>
  </si>
  <si>
    <t>聯絡方式</t>
    <phoneticPr fontId="1" type="noConversion"/>
  </si>
  <si>
    <t>0939943890</t>
  </si>
  <si>
    <t>0988761994</t>
    <phoneticPr fontId="1" type="noConversion"/>
  </si>
  <si>
    <t>無動力揚水配合人、土地是陳文章的(天山鄉土雞城老闆0937983076，他跟五股坑溪的鄰長同名、但不同人)</t>
    <phoneticPr fontId="1" type="noConversion"/>
  </si>
  <si>
    <t>0939506725</t>
  </si>
  <si>
    <t>0928201293</t>
    <phoneticPr fontId="1" type="noConversion"/>
  </si>
  <si>
    <t>0915802258</t>
    <phoneticPr fontId="1" type="noConversion"/>
  </si>
  <si>
    <r>
      <rPr>
        <sz val="12"/>
        <color theme="1"/>
        <rFont val="標楷體"/>
        <family val="4"/>
        <charset val="136"/>
      </rPr>
      <t>易炳南</t>
    </r>
    <phoneticPr fontId="1" type="noConversion"/>
  </si>
  <si>
    <t>農地在中直坑溪未來規劃的串聯處附近</t>
    <phoneticPr fontId="1" type="noConversion"/>
  </si>
  <si>
    <t>0932245409</t>
    <phoneticPr fontId="1" type="noConversion"/>
  </si>
  <si>
    <t>0910127865</t>
    <phoneticPr fontId="1" type="noConversion"/>
  </si>
  <si>
    <t>0912243257</t>
    <phoneticPr fontId="1" type="noConversion"/>
  </si>
  <si>
    <t>0916039288</t>
  </si>
  <si>
    <t>陳燕山</t>
    <phoneticPr fontId="1" type="noConversion"/>
  </si>
  <si>
    <t>五龍里里長、他覺得坑溝取水設施對這邊幫助不大，但要推他不反對，沒有很想幫忙，只叫我們去找陳文章鄰長</t>
    <phoneticPr fontId="1" type="noConversion"/>
  </si>
  <si>
    <t>0989996582</t>
  </si>
  <si>
    <t>0933050925</t>
  </si>
  <si>
    <t>0917878253</t>
  </si>
  <si>
    <t>他老婆帶我們看水源的，他本人沒有出面，那邊水井以民生為主</t>
    <phoneticPr fontId="1" type="noConversion"/>
  </si>
  <si>
    <t>0933751991</t>
  </si>
  <si>
    <t>0933751992</t>
  </si>
  <si>
    <t>0936137606</t>
  </si>
  <si>
    <t>0926878290</t>
  </si>
  <si>
    <t>0936156996</t>
  </si>
  <si>
    <t>0920422052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</si>
</sst>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新細明體"/>
      <family val="2"/>
      <charset val="136"/>
      <scheme val="minor"/>
    </font>
    <font>
      <sz val="9"/>
      <name val="新細明體"/>
      <family val="2"/>
      <charset val="136"/>
      <scheme val="minor"/>
    </font>
    <font>
      <b/>
      <sz val="12"/>
      <color theme="1"/>
      <name val="微軟正黑體"/>
      <family val="2"/>
      <charset val="136"/>
    </font>
    <font>
      <sz val="12"/>
      <color theme="1"/>
      <name val="微軟正黑體"/>
      <family val="2"/>
      <charset val="136"/>
    </font>
    <font>
      <sz val="12"/>
      <color theme="1"/>
      <name val="標楷體"/>
      <family val="4"/>
      <charset val="136"/>
    </font>
    <font>
      <sz val="12"/>
      <color theme="1"/>
      <name val="微軟正黑體"/>
      <family val="1"/>
      <charset val="136"/>
    </font>
    <font>
      <sz val="12"/>
      <color rgb="FF000000"/>
      <name val="標楷體"/>
      <family val="4"/>
      <charset val="136"/>
    </font>
    <font>
      <sz val="12"/>
      <color rgb="FF000000"/>
      <name val="Times New Roman"/>
      <family val="1"/>
    </font>
    <font>
      <b/>
      <sz val="12"/>
      <color theme="1"/>
      <name val="標楷體"/>
      <family val="4"/>
      <charset val="136"/>
    </font>
    <font>
      <sz val="12"/>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66">
    <xf numFmtId="0" fontId="0" fillId="0" borderId="0" xfId="0">
      <alignment vertical="center"/>
    </xf>
    <xf numFmtId="0" fontId="0" fillId="0" borderId="0" xfId="0" applyAlignment="1">
      <alignment horizontal="center" vertical="center"/>
    </xf>
    <xf numFmtId="0" fontId="2" fillId="0" borderId="1" xfId="0" applyFont="1" applyBorder="1" applyAlignment="1">
      <alignment horizontal="center" vertical="center"/>
    </xf>
    <xf numFmtId="0" fontId="3" fillId="0" borderId="0" xfId="0" applyFont="1">
      <alignmen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1" xfId="0" applyFont="1" applyBorder="1" applyAlignment="1">
      <alignment horizontal="left"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center" vertical="center"/>
    </xf>
    <xf numFmtId="0" fontId="4" fillId="0" borderId="0" xfId="0" applyFont="1">
      <alignment vertical="center"/>
    </xf>
    <xf numFmtId="0" fontId="6" fillId="0" borderId="0" xfId="0" applyFont="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8" fillId="0" borderId="1" xfId="0" applyFont="1" applyBorder="1" applyAlignment="1">
      <alignment horizontal="center" vertical="center"/>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8"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right" vertical="center"/>
    </xf>
    <xf numFmtId="0" fontId="6" fillId="0" borderId="0" xfId="0" applyFont="1" applyAlignment="1">
      <alignment horizontal="right" vertical="center"/>
    </xf>
    <xf numFmtId="0" fontId="4" fillId="5" borderId="0" xfId="0" applyFont="1" applyFill="1" applyAlignment="1">
      <alignment horizontal="right" vertical="center"/>
    </xf>
    <xf numFmtId="2" fontId="4" fillId="0" borderId="0" xfId="0" applyNumberFormat="1" applyFont="1" applyAlignment="1">
      <alignment horizontal="right" vertical="center"/>
    </xf>
    <xf numFmtId="0" fontId="4" fillId="4" borderId="0" xfId="0" applyFont="1" applyFill="1" applyAlignment="1">
      <alignment horizontal="left"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5"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0" borderId="0" xfId="0" applyFont="1" applyAlignment="1">
      <alignment horizontal="left"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4" fillId="0" borderId="0" xfId="0" applyFont="1" applyAlignment="1">
      <alignment vertical="center" wrapText="1"/>
    </xf>
    <xf numFmtId="49" fontId="2"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0" xfId="0" applyNumberFormat="1" applyFont="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90AD-E6AF-4CF9-BD03-DA855980FCB2}">
  <dimension ref="A1:I65"/>
  <sheetViews>
    <sheetView tabSelected="1" workbookViewId="0">
      <selection activeCell="F3" sqref="F3"/>
    </sheetView>
  </sheetViews>
  <sheetFormatPr defaultRowHeight="15.75" x14ac:dyDescent="0.25"/>
  <cols>
    <col min="1" max="1" width="9" style="7"/>
    <col min="2" max="2" width="9" style="7" customWidth="1"/>
    <col min="3" max="3" width="9" style="7"/>
    <col min="4" max="4" width="16.5" style="7" customWidth="1"/>
    <col min="5" max="5" width="14.25" style="7" customWidth="1"/>
    <col min="6" max="6" width="14.25" style="65" customWidth="1"/>
    <col min="7" max="7" width="120.75" style="8" customWidth="1"/>
    <col min="8" max="8" width="16.875" style="3" customWidth="1"/>
    <col min="9" max="16384" width="9" style="3"/>
  </cols>
  <sheetData>
    <row r="1" spans="1:7" ht="16.5" x14ac:dyDescent="0.25">
      <c r="A1" s="2" t="s">
        <v>68</v>
      </c>
      <c r="B1" s="2" t="s">
        <v>6</v>
      </c>
      <c r="C1" s="2" t="s">
        <v>66</v>
      </c>
      <c r="D1" s="2" t="s">
        <v>67</v>
      </c>
      <c r="E1" s="2" t="s">
        <v>71</v>
      </c>
      <c r="F1" s="61" t="s">
        <v>255</v>
      </c>
      <c r="G1" s="2" t="s">
        <v>7</v>
      </c>
    </row>
    <row r="2" spans="1:7" x14ac:dyDescent="0.25">
      <c r="A2" s="52" t="s">
        <v>0</v>
      </c>
      <c r="B2" s="5" t="s">
        <v>5</v>
      </c>
      <c r="C2" s="4" t="s">
        <v>69</v>
      </c>
      <c r="D2" s="4" t="s">
        <v>70</v>
      </c>
      <c r="E2" s="4" t="s">
        <v>73</v>
      </c>
      <c r="F2" s="62"/>
      <c r="G2" s="6" t="s">
        <v>9</v>
      </c>
    </row>
    <row r="3" spans="1:7" x14ac:dyDescent="0.25">
      <c r="A3" s="52"/>
      <c r="B3" s="4" t="s">
        <v>8</v>
      </c>
      <c r="C3" s="4" t="s">
        <v>69</v>
      </c>
      <c r="D3" s="4" t="s">
        <v>70</v>
      </c>
      <c r="E3" s="4" t="s">
        <v>74</v>
      </c>
      <c r="F3" s="62"/>
      <c r="G3" s="6" t="s">
        <v>10</v>
      </c>
    </row>
    <row r="4" spans="1:7" x14ac:dyDescent="0.25">
      <c r="A4" s="52"/>
      <c r="B4" s="4" t="s">
        <v>45</v>
      </c>
      <c r="C4" s="4" t="s">
        <v>69</v>
      </c>
      <c r="D4" s="4" t="s">
        <v>70</v>
      </c>
      <c r="E4" s="4" t="s">
        <v>74</v>
      </c>
      <c r="F4" s="62"/>
      <c r="G4" s="6" t="s">
        <v>130</v>
      </c>
    </row>
    <row r="5" spans="1:7" x14ac:dyDescent="0.25">
      <c r="A5" s="52"/>
      <c r="B5" s="4" t="s">
        <v>46</v>
      </c>
      <c r="C5" s="4" t="s">
        <v>69</v>
      </c>
      <c r="D5" s="4" t="s">
        <v>72</v>
      </c>
      <c r="E5" s="4" t="s">
        <v>75</v>
      </c>
      <c r="F5" s="58" t="s">
        <v>260</v>
      </c>
      <c r="G5" s="6" t="s">
        <v>47</v>
      </c>
    </row>
    <row r="6" spans="1:7" x14ac:dyDescent="0.25">
      <c r="A6" s="52"/>
      <c r="B6" s="4" t="s">
        <v>76</v>
      </c>
      <c r="C6" s="4" t="s">
        <v>69</v>
      </c>
      <c r="D6" s="4" t="s">
        <v>77</v>
      </c>
      <c r="E6" s="4" t="s">
        <v>75</v>
      </c>
      <c r="F6" s="62"/>
      <c r="G6" s="6" t="s">
        <v>116</v>
      </c>
    </row>
    <row r="7" spans="1:7" x14ac:dyDescent="0.25">
      <c r="A7" s="52"/>
      <c r="B7" s="4" t="s">
        <v>117</v>
      </c>
      <c r="C7" s="4" t="s">
        <v>69</v>
      </c>
      <c r="D7" s="4" t="s">
        <v>70</v>
      </c>
      <c r="E7" s="4" t="s">
        <v>73</v>
      </c>
      <c r="F7" s="62"/>
      <c r="G7" s="6" t="s">
        <v>118</v>
      </c>
    </row>
    <row r="8" spans="1:7" x14ac:dyDescent="0.25">
      <c r="A8" s="52"/>
      <c r="B8" s="5" t="s">
        <v>51</v>
      </c>
      <c r="C8" s="52" t="s">
        <v>79</v>
      </c>
      <c r="D8" s="52"/>
      <c r="E8" s="52"/>
      <c r="F8" s="62"/>
      <c r="G8" s="6" t="s">
        <v>92</v>
      </c>
    </row>
    <row r="9" spans="1:7" x14ac:dyDescent="0.25">
      <c r="A9" s="52"/>
      <c r="B9" s="4" t="s">
        <v>119</v>
      </c>
      <c r="C9" s="4" t="s">
        <v>69</v>
      </c>
      <c r="D9" s="4" t="s">
        <v>70</v>
      </c>
      <c r="E9" s="4" t="s">
        <v>73</v>
      </c>
      <c r="F9" s="62"/>
      <c r="G9" s="6" t="s">
        <v>120</v>
      </c>
    </row>
    <row r="10" spans="1:7" x14ac:dyDescent="0.25">
      <c r="A10" s="52"/>
      <c r="B10" s="4" t="s">
        <v>121</v>
      </c>
      <c r="C10" s="4" t="s">
        <v>69</v>
      </c>
      <c r="D10" s="4" t="s">
        <v>122</v>
      </c>
      <c r="E10" s="4" t="s">
        <v>123</v>
      </c>
      <c r="F10" s="58" t="s">
        <v>257</v>
      </c>
      <c r="G10" s="6" t="s">
        <v>124</v>
      </c>
    </row>
    <row r="11" spans="1:7" ht="16.5" x14ac:dyDescent="0.25">
      <c r="A11" s="52"/>
      <c r="B11" s="59" t="s">
        <v>262</v>
      </c>
      <c r="C11" s="4" t="s">
        <v>123</v>
      </c>
      <c r="D11" s="4" t="s">
        <v>123</v>
      </c>
      <c r="E11" s="4" t="s">
        <v>123</v>
      </c>
      <c r="F11" s="58" t="s">
        <v>261</v>
      </c>
      <c r="G11" s="60" t="s">
        <v>263</v>
      </c>
    </row>
    <row r="12" spans="1:7" x14ac:dyDescent="0.25">
      <c r="A12" s="52"/>
      <c r="B12" s="4" t="s">
        <v>53</v>
      </c>
      <c r="C12" s="4" t="s">
        <v>69</v>
      </c>
      <c r="D12" s="4" t="s">
        <v>70</v>
      </c>
      <c r="E12" s="4" t="s">
        <v>75</v>
      </c>
      <c r="F12" s="62" t="s">
        <v>266</v>
      </c>
      <c r="G12" s="6" t="s">
        <v>91</v>
      </c>
    </row>
    <row r="14" spans="1:7" x14ac:dyDescent="0.25">
      <c r="A14" s="52" t="s">
        <v>1</v>
      </c>
      <c r="B14" s="4" t="s">
        <v>14</v>
      </c>
      <c r="C14" s="4" t="s">
        <v>69</v>
      </c>
      <c r="D14" s="4" t="s">
        <v>70</v>
      </c>
      <c r="E14" s="4" t="s">
        <v>75</v>
      </c>
      <c r="F14" s="62"/>
      <c r="G14" s="6" t="s">
        <v>15</v>
      </c>
    </row>
    <row r="15" spans="1:7" x14ac:dyDescent="0.25">
      <c r="A15" s="52"/>
      <c r="B15" s="4" t="s">
        <v>16</v>
      </c>
      <c r="C15" s="4" t="s">
        <v>69</v>
      </c>
      <c r="D15" s="4"/>
      <c r="E15" s="4"/>
      <c r="F15" s="62"/>
      <c r="G15" s="6"/>
    </row>
    <row r="16" spans="1:7" x14ac:dyDescent="0.25">
      <c r="A16" s="52"/>
      <c r="B16" s="4" t="s">
        <v>17</v>
      </c>
      <c r="C16" s="4" t="s">
        <v>69</v>
      </c>
      <c r="D16" s="4" t="s">
        <v>70</v>
      </c>
      <c r="E16" s="4" t="s">
        <v>73</v>
      </c>
      <c r="F16" s="62"/>
      <c r="G16" s="6" t="s">
        <v>18</v>
      </c>
    </row>
    <row r="17" spans="1:7" x14ac:dyDescent="0.25">
      <c r="A17" s="52"/>
      <c r="B17" s="4" t="s">
        <v>21</v>
      </c>
      <c r="C17" s="4" t="s">
        <v>69</v>
      </c>
      <c r="D17" s="4" t="s">
        <v>70</v>
      </c>
      <c r="E17" s="4" t="s">
        <v>73</v>
      </c>
      <c r="F17" s="62"/>
      <c r="G17" s="6" t="s">
        <v>22</v>
      </c>
    </row>
    <row r="18" spans="1:7" x14ac:dyDescent="0.25">
      <c r="A18" s="52"/>
      <c r="B18" s="4" t="s">
        <v>19</v>
      </c>
      <c r="C18" s="4" t="s">
        <v>78</v>
      </c>
      <c r="D18" s="4" t="s">
        <v>78</v>
      </c>
      <c r="E18" s="4"/>
      <c r="F18" s="62"/>
      <c r="G18" s="6" t="s">
        <v>20</v>
      </c>
    </row>
    <row r="19" spans="1:7" x14ac:dyDescent="0.25">
      <c r="A19" s="52"/>
      <c r="B19" s="5" t="s">
        <v>23</v>
      </c>
      <c r="C19" s="4" t="s">
        <v>69</v>
      </c>
      <c r="D19" s="4" t="s">
        <v>70</v>
      </c>
      <c r="E19" s="4" t="s">
        <v>73</v>
      </c>
      <c r="F19" s="62"/>
      <c r="G19" s="6" t="s">
        <v>24</v>
      </c>
    </row>
    <row r="20" spans="1:7" x14ac:dyDescent="0.25">
      <c r="A20" s="52"/>
      <c r="B20" s="5" t="s">
        <v>25</v>
      </c>
      <c r="C20" s="4" t="s">
        <v>69</v>
      </c>
      <c r="D20" s="4" t="s">
        <v>70</v>
      </c>
      <c r="E20" s="4" t="s">
        <v>74</v>
      </c>
      <c r="F20" s="62"/>
      <c r="G20" s="6" t="s">
        <v>26</v>
      </c>
    </row>
    <row r="21" spans="1:7" x14ac:dyDescent="0.25">
      <c r="A21" s="52"/>
      <c r="B21" s="4" t="s">
        <v>88</v>
      </c>
      <c r="C21" s="4" t="s">
        <v>69</v>
      </c>
      <c r="D21" s="4" t="s">
        <v>70</v>
      </c>
      <c r="E21" s="4" t="s">
        <v>73</v>
      </c>
      <c r="F21" s="62"/>
      <c r="G21" s="6"/>
    </row>
    <row r="22" spans="1:7" x14ac:dyDescent="0.25">
      <c r="A22" s="52"/>
      <c r="B22" s="4" t="s">
        <v>89</v>
      </c>
      <c r="C22" s="4" t="s">
        <v>69</v>
      </c>
      <c r="D22" s="4" t="s">
        <v>70</v>
      </c>
      <c r="E22" s="4" t="s">
        <v>73</v>
      </c>
      <c r="F22" s="62"/>
      <c r="G22" s="6"/>
    </row>
    <row r="23" spans="1:7" x14ac:dyDescent="0.25">
      <c r="A23" s="52"/>
      <c r="B23" s="4" t="s">
        <v>44</v>
      </c>
      <c r="C23" s="4" t="s">
        <v>69</v>
      </c>
      <c r="D23" s="4" t="s">
        <v>70</v>
      </c>
      <c r="E23" s="4" t="s">
        <v>73</v>
      </c>
      <c r="F23" s="62"/>
      <c r="G23" s="6" t="s">
        <v>49</v>
      </c>
    </row>
    <row r="24" spans="1:7" x14ac:dyDescent="0.25">
      <c r="A24" s="52"/>
      <c r="B24" s="4" t="s">
        <v>48</v>
      </c>
      <c r="C24" s="4" t="s">
        <v>85</v>
      </c>
      <c r="D24" s="4" t="s">
        <v>78</v>
      </c>
      <c r="E24" s="4" t="s">
        <v>78</v>
      </c>
      <c r="F24" s="62"/>
      <c r="G24" s="6" t="s">
        <v>50</v>
      </c>
    </row>
    <row r="25" spans="1:7" x14ac:dyDescent="0.25">
      <c r="A25" s="52"/>
      <c r="B25" s="4" t="s">
        <v>96</v>
      </c>
      <c r="C25" s="4" t="s">
        <v>69</v>
      </c>
      <c r="D25" s="4" t="s">
        <v>70</v>
      </c>
      <c r="E25" s="4" t="s">
        <v>75</v>
      </c>
      <c r="F25" s="62"/>
      <c r="G25" s="6" t="s">
        <v>97</v>
      </c>
    </row>
    <row r="26" spans="1:7" x14ac:dyDescent="0.25">
      <c r="A26" s="52"/>
      <c r="B26" s="4" t="s">
        <v>52</v>
      </c>
      <c r="C26" s="4" t="s">
        <v>69</v>
      </c>
      <c r="D26" s="4" t="s">
        <v>70</v>
      </c>
      <c r="E26" s="4" t="s">
        <v>75</v>
      </c>
      <c r="F26" s="62"/>
      <c r="G26" s="6" t="s">
        <v>94</v>
      </c>
    </row>
    <row r="27" spans="1:7" x14ac:dyDescent="0.25">
      <c r="A27" s="52"/>
      <c r="B27" s="4" t="s">
        <v>93</v>
      </c>
      <c r="C27" s="4" t="s">
        <v>69</v>
      </c>
      <c r="D27" s="4" t="s">
        <v>70</v>
      </c>
      <c r="E27" s="4" t="s">
        <v>73</v>
      </c>
      <c r="F27" s="62"/>
      <c r="G27" s="6" t="s">
        <v>258</v>
      </c>
    </row>
    <row r="28" spans="1:7" x14ac:dyDescent="0.25">
      <c r="A28" s="52"/>
      <c r="B28" s="4" t="s">
        <v>129</v>
      </c>
      <c r="C28" s="4" t="s">
        <v>69</v>
      </c>
      <c r="D28" s="4" t="s">
        <v>122</v>
      </c>
      <c r="E28" s="4" t="s">
        <v>123</v>
      </c>
      <c r="F28" s="62"/>
      <c r="G28" s="6"/>
    </row>
    <row r="30" spans="1:7" x14ac:dyDescent="0.25">
      <c r="A30" s="55" t="s">
        <v>2</v>
      </c>
      <c r="B30" s="10" t="s">
        <v>127</v>
      </c>
      <c r="C30" s="4" t="s">
        <v>69</v>
      </c>
      <c r="D30" s="4" t="s">
        <v>70</v>
      </c>
      <c r="E30" s="4" t="s">
        <v>75</v>
      </c>
      <c r="F30" s="58" t="s">
        <v>256</v>
      </c>
      <c r="G30" s="6" t="s">
        <v>128</v>
      </c>
    </row>
    <row r="31" spans="1:7" x14ac:dyDescent="0.25">
      <c r="A31" s="56"/>
      <c r="B31" s="4" t="s">
        <v>125</v>
      </c>
      <c r="C31" s="4" t="s">
        <v>85</v>
      </c>
      <c r="D31" s="4" t="s">
        <v>78</v>
      </c>
      <c r="E31" s="4" t="s">
        <v>78</v>
      </c>
      <c r="F31" s="58" t="s">
        <v>259</v>
      </c>
      <c r="G31" s="6" t="s">
        <v>126</v>
      </c>
    </row>
    <row r="33" spans="1:9" x14ac:dyDescent="0.25">
      <c r="A33" s="52" t="s">
        <v>3</v>
      </c>
      <c r="B33" s="5" t="s">
        <v>54</v>
      </c>
      <c r="C33" s="4" t="s">
        <v>69</v>
      </c>
      <c r="D33" s="4" t="s">
        <v>70</v>
      </c>
      <c r="E33" s="4" t="s">
        <v>73</v>
      </c>
      <c r="F33" s="62" t="s">
        <v>279</v>
      </c>
      <c r="G33" s="6" t="s">
        <v>64</v>
      </c>
      <c r="H33" s="3" t="s">
        <v>254</v>
      </c>
      <c r="I33" s="3" t="s">
        <v>253</v>
      </c>
    </row>
    <row r="34" spans="1:9" x14ac:dyDescent="0.25">
      <c r="A34" s="52"/>
      <c r="B34" s="4" t="s">
        <v>63</v>
      </c>
      <c r="C34" s="4" t="s">
        <v>69</v>
      </c>
      <c r="D34" s="4" t="s">
        <v>81</v>
      </c>
      <c r="E34" s="4" t="s">
        <v>75</v>
      </c>
      <c r="F34" s="62" t="s">
        <v>265</v>
      </c>
      <c r="G34" s="6" t="s">
        <v>65</v>
      </c>
    </row>
    <row r="35" spans="1:9" x14ac:dyDescent="0.25">
      <c r="A35" s="52"/>
      <c r="B35" s="4" t="s">
        <v>268</v>
      </c>
      <c r="C35" s="4" t="s">
        <v>69</v>
      </c>
      <c r="D35" s="4" t="s">
        <v>70</v>
      </c>
      <c r="E35" s="4" t="s">
        <v>73</v>
      </c>
      <c r="F35" s="62" t="s">
        <v>267</v>
      </c>
      <c r="G35" s="6" t="s">
        <v>269</v>
      </c>
    </row>
    <row r="37" spans="1:9" x14ac:dyDescent="0.25">
      <c r="A37" s="52" t="s">
        <v>11</v>
      </c>
      <c r="B37" s="4" t="s">
        <v>12</v>
      </c>
      <c r="C37" s="4" t="s">
        <v>69</v>
      </c>
      <c r="D37" s="4" t="s">
        <v>81</v>
      </c>
      <c r="E37" s="4" t="s">
        <v>75</v>
      </c>
      <c r="F37" s="62"/>
      <c r="G37" s="6" t="s">
        <v>13</v>
      </c>
    </row>
    <row r="38" spans="1:9" x14ac:dyDescent="0.25">
      <c r="A38" s="52"/>
      <c r="B38" s="4" t="s">
        <v>56</v>
      </c>
      <c r="C38" s="4" t="s">
        <v>69</v>
      </c>
      <c r="D38" s="4" t="s">
        <v>70</v>
      </c>
      <c r="E38" s="4" t="s">
        <v>73</v>
      </c>
      <c r="F38" s="62" t="s">
        <v>271</v>
      </c>
      <c r="G38" s="6"/>
    </row>
    <row r="39" spans="1:9" x14ac:dyDescent="0.25">
      <c r="A39" s="52"/>
      <c r="B39" s="5" t="s">
        <v>55</v>
      </c>
      <c r="C39" s="52" t="s">
        <v>83</v>
      </c>
      <c r="D39" s="52"/>
      <c r="E39" s="52"/>
      <c r="F39" s="62" t="s">
        <v>270</v>
      </c>
      <c r="G39" s="6" t="s">
        <v>90</v>
      </c>
    </row>
    <row r="41" spans="1:9" x14ac:dyDescent="0.25">
      <c r="A41" s="52" t="s">
        <v>27</v>
      </c>
      <c r="B41" s="4" t="s">
        <v>28</v>
      </c>
      <c r="C41" s="4" t="s">
        <v>69</v>
      </c>
      <c r="D41" s="4" t="s">
        <v>80</v>
      </c>
      <c r="E41" s="4" t="s">
        <v>75</v>
      </c>
      <c r="F41" s="62"/>
      <c r="G41" s="6" t="s">
        <v>29</v>
      </c>
    </row>
    <row r="42" spans="1:9" x14ac:dyDescent="0.25">
      <c r="A42" s="52"/>
      <c r="B42" s="4" t="s">
        <v>30</v>
      </c>
      <c r="C42" s="4" t="s">
        <v>69</v>
      </c>
      <c r="D42" s="4" t="s">
        <v>82</v>
      </c>
      <c r="E42" s="4" t="s">
        <v>74</v>
      </c>
      <c r="F42" s="62"/>
      <c r="G42" s="6" t="s">
        <v>31</v>
      </c>
    </row>
    <row r="43" spans="1:9" x14ac:dyDescent="0.25">
      <c r="A43" s="52"/>
      <c r="B43" s="4" t="s">
        <v>32</v>
      </c>
      <c r="C43" s="52" t="s">
        <v>83</v>
      </c>
      <c r="D43" s="52"/>
      <c r="E43" s="52"/>
      <c r="F43" s="62"/>
      <c r="G43" s="6" t="s">
        <v>33</v>
      </c>
    </row>
    <row r="44" spans="1:9" x14ac:dyDescent="0.25">
      <c r="A44" s="52"/>
      <c r="B44" s="4" t="s">
        <v>34</v>
      </c>
      <c r="C44" s="52" t="s">
        <v>83</v>
      </c>
      <c r="D44" s="52"/>
      <c r="E44" s="52"/>
      <c r="F44" s="62"/>
      <c r="G44" s="6" t="s">
        <v>33</v>
      </c>
    </row>
    <row r="45" spans="1:9" x14ac:dyDescent="0.25">
      <c r="A45" s="52"/>
      <c r="B45" s="4" t="s">
        <v>57</v>
      </c>
      <c r="C45" s="4" t="s">
        <v>85</v>
      </c>
      <c r="D45" s="4" t="s">
        <v>86</v>
      </c>
      <c r="E45" s="4" t="s">
        <v>78</v>
      </c>
      <c r="F45" s="62" t="s">
        <v>276</v>
      </c>
      <c r="G45" s="6" t="s">
        <v>111</v>
      </c>
    </row>
    <row r="46" spans="1:9" x14ac:dyDescent="0.25">
      <c r="A46" s="52"/>
      <c r="B46" s="4" t="s">
        <v>59</v>
      </c>
      <c r="C46" s="4" t="s">
        <v>85</v>
      </c>
      <c r="D46" s="4" t="s">
        <v>86</v>
      </c>
      <c r="E46" s="4" t="s">
        <v>78</v>
      </c>
      <c r="F46" s="62" t="s">
        <v>278</v>
      </c>
      <c r="G46" s="6" t="s">
        <v>112</v>
      </c>
    </row>
    <row r="47" spans="1:9" x14ac:dyDescent="0.25">
      <c r="A47" s="52"/>
      <c r="B47" s="4" t="s">
        <v>110</v>
      </c>
      <c r="C47" s="4" t="s">
        <v>69</v>
      </c>
      <c r="D47" s="4" t="s">
        <v>80</v>
      </c>
      <c r="E47" s="4" t="s">
        <v>78</v>
      </c>
      <c r="F47" s="62"/>
      <c r="G47" s="6" t="s">
        <v>113</v>
      </c>
    </row>
    <row r="48" spans="1:9" x14ac:dyDescent="0.25">
      <c r="A48" s="52"/>
      <c r="B48" s="5" t="s">
        <v>84</v>
      </c>
      <c r="C48" s="4" t="s">
        <v>69</v>
      </c>
      <c r="D48" s="4" t="s">
        <v>81</v>
      </c>
      <c r="E48" s="4" t="s">
        <v>75</v>
      </c>
      <c r="F48" s="62"/>
      <c r="G48" s="6" t="s">
        <v>35</v>
      </c>
    </row>
    <row r="50" spans="1:7" x14ac:dyDescent="0.25">
      <c r="A50" s="52" t="s">
        <v>4</v>
      </c>
      <c r="B50" s="5" t="s">
        <v>36</v>
      </c>
      <c r="C50" s="4" t="s">
        <v>69</v>
      </c>
      <c r="D50" s="4" t="s">
        <v>87</v>
      </c>
      <c r="E50" s="4" t="s">
        <v>75</v>
      </c>
      <c r="F50" s="62"/>
      <c r="G50" s="6"/>
    </row>
    <row r="51" spans="1:7" x14ac:dyDescent="0.25">
      <c r="A51" s="52"/>
      <c r="B51" s="4" t="s">
        <v>37</v>
      </c>
      <c r="C51" s="4" t="s">
        <v>69</v>
      </c>
      <c r="D51" s="4" t="s">
        <v>87</v>
      </c>
      <c r="E51" s="4" t="s">
        <v>75</v>
      </c>
      <c r="F51" s="62"/>
      <c r="G51" s="6" t="s">
        <v>41</v>
      </c>
    </row>
    <row r="52" spans="1:7" x14ac:dyDescent="0.25">
      <c r="A52" s="52"/>
      <c r="B52" s="4" t="s">
        <v>38</v>
      </c>
      <c r="C52" s="52" t="s">
        <v>83</v>
      </c>
      <c r="D52" s="52"/>
      <c r="E52" s="52"/>
      <c r="F52" s="62"/>
      <c r="G52" s="6" t="s">
        <v>42</v>
      </c>
    </row>
    <row r="53" spans="1:7" x14ac:dyDescent="0.25">
      <c r="A53" s="52"/>
      <c r="B53" s="4" t="s">
        <v>39</v>
      </c>
      <c r="C53" s="4" t="s">
        <v>69</v>
      </c>
      <c r="D53" s="4" t="s">
        <v>87</v>
      </c>
      <c r="E53" s="4" t="s">
        <v>75</v>
      </c>
      <c r="F53" s="62"/>
      <c r="G53" s="6" t="s">
        <v>43</v>
      </c>
    </row>
    <row r="54" spans="1:7" x14ac:dyDescent="0.25">
      <c r="A54" s="52"/>
      <c r="B54" s="4" t="s">
        <v>40</v>
      </c>
      <c r="C54" s="52" t="s">
        <v>83</v>
      </c>
      <c r="D54" s="52"/>
      <c r="E54" s="52"/>
      <c r="F54" s="62"/>
      <c r="G54" s="6"/>
    </row>
    <row r="55" spans="1:7" x14ac:dyDescent="0.25">
      <c r="A55" s="52"/>
      <c r="B55" s="4" t="s">
        <v>58</v>
      </c>
      <c r="C55" s="4" t="s">
        <v>69</v>
      </c>
      <c r="D55" s="4" t="s">
        <v>87</v>
      </c>
      <c r="E55" s="4" t="s">
        <v>75</v>
      </c>
      <c r="F55" s="63" t="s">
        <v>277</v>
      </c>
      <c r="G55" s="53" t="s">
        <v>115</v>
      </c>
    </row>
    <row r="56" spans="1:7" x14ac:dyDescent="0.25">
      <c r="A56" s="52"/>
      <c r="B56" s="4" t="s">
        <v>114</v>
      </c>
      <c r="C56" s="4" t="s">
        <v>69</v>
      </c>
      <c r="D56" s="4" t="s">
        <v>87</v>
      </c>
      <c r="E56" s="4" t="s">
        <v>75</v>
      </c>
      <c r="F56" s="64"/>
      <c r="G56" s="54"/>
    </row>
    <row r="57" spans="1:7" x14ac:dyDescent="0.25">
      <c r="A57" s="52"/>
      <c r="B57" s="4" t="s">
        <v>60</v>
      </c>
      <c r="C57" s="4" t="s">
        <v>69</v>
      </c>
      <c r="D57" s="4" t="s">
        <v>70</v>
      </c>
      <c r="E57" s="4" t="s">
        <v>75</v>
      </c>
      <c r="F57" s="62" t="s">
        <v>274</v>
      </c>
      <c r="G57" s="6"/>
    </row>
    <row r="58" spans="1:7" x14ac:dyDescent="0.25">
      <c r="A58" s="52"/>
      <c r="B58" s="5" t="s">
        <v>61</v>
      </c>
      <c r="C58" s="4" t="s">
        <v>69</v>
      </c>
      <c r="D58" s="4" t="s">
        <v>87</v>
      </c>
      <c r="E58" s="4" t="s">
        <v>75</v>
      </c>
      <c r="F58" s="62" t="s">
        <v>275</v>
      </c>
      <c r="G58" s="6"/>
    </row>
    <row r="59" spans="1:7" x14ac:dyDescent="0.25">
      <c r="A59" s="52"/>
      <c r="B59" s="4" t="s">
        <v>62</v>
      </c>
      <c r="C59" s="4" t="s">
        <v>69</v>
      </c>
      <c r="D59" s="4" t="s">
        <v>82</v>
      </c>
      <c r="E59" s="4" t="s">
        <v>74</v>
      </c>
      <c r="F59" s="62" t="s">
        <v>272</v>
      </c>
      <c r="G59" s="6" t="s">
        <v>273</v>
      </c>
    </row>
    <row r="61" spans="1:7" ht="31.5" x14ac:dyDescent="0.25">
      <c r="A61" s="4" t="s">
        <v>106</v>
      </c>
      <c r="B61" s="5" t="s">
        <v>107</v>
      </c>
      <c r="C61" s="4" t="s">
        <v>69</v>
      </c>
      <c r="D61" s="4" t="s">
        <v>109</v>
      </c>
      <c r="E61" s="4" t="s">
        <v>75</v>
      </c>
      <c r="F61" s="58" t="s">
        <v>264</v>
      </c>
      <c r="G61" s="9" t="s">
        <v>108</v>
      </c>
    </row>
    <row r="63" spans="1:7" x14ac:dyDescent="0.25">
      <c r="A63" s="52" t="s">
        <v>98</v>
      </c>
      <c r="B63" s="5" t="s">
        <v>99</v>
      </c>
      <c r="C63" s="4" t="s">
        <v>69</v>
      </c>
      <c r="D63" s="4" t="s">
        <v>101</v>
      </c>
      <c r="E63" s="4" t="s">
        <v>74</v>
      </c>
      <c r="F63" s="62"/>
      <c r="G63" s="6" t="s">
        <v>103</v>
      </c>
    </row>
    <row r="64" spans="1:7" x14ac:dyDescent="0.25">
      <c r="A64" s="52"/>
      <c r="B64" s="5" t="s">
        <v>100</v>
      </c>
      <c r="C64" s="4" t="s">
        <v>69</v>
      </c>
      <c r="D64" s="4" t="s">
        <v>101</v>
      </c>
      <c r="E64" s="4" t="s">
        <v>74</v>
      </c>
      <c r="F64" s="62"/>
      <c r="G64" s="6" t="s">
        <v>102</v>
      </c>
    </row>
    <row r="65" spans="1:7" x14ac:dyDescent="0.25">
      <c r="A65" s="52"/>
      <c r="B65" s="5" t="s">
        <v>104</v>
      </c>
      <c r="C65" s="4" t="s">
        <v>69</v>
      </c>
      <c r="D65" s="4" t="s">
        <v>101</v>
      </c>
      <c r="E65" s="4" t="s">
        <v>74</v>
      </c>
      <c r="F65" s="62"/>
      <c r="G65" s="6" t="s">
        <v>105</v>
      </c>
    </row>
  </sheetData>
  <mergeCells count="15">
    <mergeCell ref="C8:E8"/>
    <mergeCell ref="C39:E39"/>
    <mergeCell ref="C43:E43"/>
    <mergeCell ref="C44:E44"/>
    <mergeCell ref="C52:E52"/>
    <mergeCell ref="A2:A12"/>
    <mergeCell ref="A37:A39"/>
    <mergeCell ref="A41:A48"/>
    <mergeCell ref="A50:A59"/>
    <mergeCell ref="A33:A35"/>
    <mergeCell ref="A63:A65"/>
    <mergeCell ref="G55:G56"/>
    <mergeCell ref="A30:A31"/>
    <mergeCell ref="A14:A28"/>
    <mergeCell ref="C54:E5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3AB4-2F2A-4395-9DF4-972E048231EF}">
  <dimension ref="B2:J54"/>
  <sheetViews>
    <sheetView zoomScale="85" zoomScaleNormal="85" workbookViewId="0">
      <selection activeCell="P16" sqref="P16"/>
    </sheetView>
  </sheetViews>
  <sheetFormatPr defaultRowHeight="16.5" x14ac:dyDescent="0.25"/>
  <cols>
    <col min="2" max="2" width="24.375" style="14" customWidth="1"/>
    <col min="3" max="4" width="9" style="14"/>
    <col min="5" max="5" width="14.5" style="14" customWidth="1"/>
    <col min="6" max="6" width="6.625" style="14" customWidth="1"/>
    <col min="7" max="7" width="18.625" style="14" customWidth="1"/>
    <col min="8" max="8" width="9" style="14"/>
    <col min="10" max="10" width="18.125" style="15" customWidth="1"/>
  </cols>
  <sheetData>
    <row r="2" spans="2:10" x14ac:dyDescent="0.25">
      <c r="B2" s="19" t="s">
        <v>189</v>
      </c>
      <c r="C2" s="19" t="s">
        <v>188</v>
      </c>
      <c r="D2" s="19" t="s">
        <v>185</v>
      </c>
      <c r="E2" s="19" t="s">
        <v>220</v>
      </c>
      <c r="F2" s="19" t="s">
        <v>214</v>
      </c>
      <c r="G2" s="19" t="s">
        <v>186</v>
      </c>
      <c r="H2" s="19" t="s">
        <v>187</v>
      </c>
      <c r="I2" s="1"/>
      <c r="J2" s="22"/>
    </row>
    <row r="3" spans="2:10" ht="82.5" x14ac:dyDescent="0.25">
      <c r="B3" s="43" t="s">
        <v>190</v>
      </c>
      <c r="C3" s="17">
        <v>109</v>
      </c>
      <c r="D3" s="20" t="s">
        <v>136</v>
      </c>
      <c r="E3" s="11" t="s">
        <v>137</v>
      </c>
      <c r="F3" s="11"/>
      <c r="G3" s="18" t="s">
        <v>184</v>
      </c>
      <c r="H3" s="17"/>
    </row>
    <row r="4" spans="2:10" x14ac:dyDescent="0.25">
      <c r="B4" s="43"/>
      <c r="C4" s="17">
        <v>110</v>
      </c>
      <c r="D4" s="21" t="s">
        <v>138</v>
      </c>
      <c r="E4" s="11" t="s">
        <v>139</v>
      </c>
      <c r="F4" s="11"/>
      <c r="G4" s="18" t="s">
        <v>194</v>
      </c>
      <c r="H4" s="17"/>
      <c r="J4" s="15" t="s">
        <v>206</v>
      </c>
    </row>
    <row r="5" spans="2:10" ht="66" x14ac:dyDescent="0.25">
      <c r="B5" s="43"/>
      <c r="C5" s="17">
        <v>110</v>
      </c>
      <c r="D5" s="20" t="s">
        <v>140</v>
      </c>
      <c r="E5" s="11" t="s">
        <v>143</v>
      </c>
      <c r="F5" s="11"/>
      <c r="G5" s="18" t="s">
        <v>195</v>
      </c>
      <c r="H5" s="17"/>
    </row>
    <row r="6" spans="2:10" ht="33" x14ac:dyDescent="0.25">
      <c r="B6" s="43"/>
      <c r="C6" s="17">
        <v>112</v>
      </c>
      <c r="D6" s="20" t="s">
        <v>141</v>
      </c>
      <c r="E6" s="11" t="s">
        <v>144</v>
      </c>
      <c r="F6" s="11"/>
      <c r="G6" s="18" t="s">
        <v>196</v>
      </c>
      <c r="H6" s="17"/>
    </row>
    <row r="7" spans="2:10" x14ac:dyDescent="0.25">
      <c r="B7" s="43"/>
      <c r="C7" s="17">
        <v>111</v>
      </c>
      <c r="D7" s="21" t="s">
        <v>142</v>
      </c>
      <c r="E7" s="11" t="s">
        <v>145</v>
      </c>
      <c r="F7" s="11"/>
      <c r="G7" s="17" t="s">
        <v>46</v>
      </c>
      <c r="H7" s="17"/>
      <c r="J7" s="15" t="s">
        <v>207</v>
      </c>
    </row>
    <row r="8" spans="2:10" x14ac:dyDescent="0.25">
      <c r="B8" s="16"/>
    </row>
    <row r="9" spans="2:10" x14ac:dyDescent="0.25">
      <c r="B9" s="19" t="s">
        <v>189</v>
      </c>
      <c r="C9" s="19" t="s">
        <v>188</v>
      </c>
      <c r="D9" s="19" t="s">
        <v>185</v>
      </c>
      <c r="E9" s="19" t="s">
        <v>220</v>
      </c>
      <c r="F9" s="19" t="s">
        <v>214</v>
      </c>
      <c r="G9" s="19" t="s">
        <v>186</v>
      </c>
      <c r="H9" s="19" t="s">
        <v>187</v>
      </c>
    </row>
    <row r="10" spans="2:10" x14ac:dyDescent="0.25">
      <c r="B10" s="44" t="s">
        <v>191</v>
      </c>
      <c r="C10" s="31">
        <v>112</v>
      </c>
      <c r="D10" s="47" t="s">
        <v>146</v>
      </c>
      <c r="E10" s="17" t="s">
        <v>147</v>
      </c>
      <c r="F10" s="17">
        <v>250.1</v>
      </c>
      <c r="G10" s="29" t="s">
        <v>78</v>
      </c>
      <c r="H10" s="30"/>
    </row>
    <row r="11" spans="2:10" x14ac:dyDescent="0.25">
      <c r="B11" s="45"/>
      <c r="C11" s="32"/>
      <c r="D11" s="48"/>
      <c r="E11" s="17" t="s">
        <v>216</v>
      </c>
      <c r="F11" s="17">
        <v>226</v>
      </c>
      <c r="G11" s="29" t="s">
        <v>78</v>
      </c>
      <c r="H11" s="30"/>
    </row>
    <row r="12" spans="2:10" x14ac:dyDescent="0.25">
      <c r="B12" s="45"/>
      <c r="C12" s="32"/>
      <c r="D12" s="48"/>
      <c r="E12" s="11" t="s">
        <v>158</v>
      </c>
      <c r="F12" s="11">
        <v>246.3</v>
      </c>
      <c r="G12" s="17" t="s">
        <v>197</v>
      </c>
      <c r="H12" s="17"/>
    </row>
    <row r="13" spans="2:10" x14ac:dyDescent="0.25">
      <c r="B13" s="45"/>
      <c r="C13" s="32"/>
      <c r="D13" s="48"/>
      <c r="E13" s="11" t="s">
        <v>159</v>
      </c>
      <c r="F13" s="11">
        <v>226</v>
      </c>
      <c r="G13" s="17" t="s">
        <v>199</v>
      </c>
      <c r="H13" s="17"/>
      <c r="J13" s="23" t="s">
        <v>213</v>
      </c>
    </row>
    <row r="14" spans="2:10" ht="49.5" x14ac:dyDescent="0.25">
      <c r="B14" s="45"/>
      <c r="C14" s="32"/>
      <c r="D14" s="48"/>
      <c r="E14" s="11" t="s">
        <v>160</v>
      </c>
      <c r="F14" s="11">
        <v>225.8</v>
      </c>
      <c r="G14" s="12" t="s">
        <v>200</v>
      </c>
      <c r="H14" s="17"/>
    </row>
    <row r="15" spans="2:10" x14ac:dyDescent="0.25">
      <c r="B15" s="45"/>
      <c r="C15" s="33"/>
      <c r="D15" s="49"/>
      <c r="E15" s="11" t="s">
        <v>198</v>
      </c>
      <c r="F15" s="11">
        <v>251.8</v>
      </c>
      <c r="G15" s="17" t="s">
        <v>93</v>
      </c>
      <c r="H15" s="17"/>
    </row>
    <row r="16" spans="2:10" x14ac:dyDescent="0.25">
      <c r="B16" s="45"/>
      <c r="C16" s="31">
        <v>112</v>
      </c>
      <c r="D16" s="47" t="s">
        <v>148</v>
      </c>
      <c r="E16" s="11" t="s">
        <v>215</v>
      </c>
      <c r="F16" s="11">
        <v>237.5</v>
      </c>
      <c r="G16" s="29" t="s">
        <v>78</v>
      </c>
      <c r="H16" s="30"/>
    </row>
    <row r="17" spans="2:10" ht="33" x14ac:dyDescent="0.25">
      <c r="B17" s="45"/>
      <c r="C17" s="32"/>
      <c r="D17" s="48"/>
      <c r="E17" s="11" t="s">
        <v>161</v>
      </c>
      <c r="F17" s="11">
        <v>248</v>
      </c>
      <c r="G17" s="12" t="s">
        <v>201</v>
      </c>
      <c r="H17" s="17"/>
    </row>
    <row r="18" spans="2:10" x14ac:dyDescent="0.25">
      <c r="B18" s="45"/>
      <c r="C18" s="33"/>
      <c r="D18" s="49"/>
      <c r="E18" s="11" t="s">
        <v>162</v>
      </c>
      <c r="F18" s="11">
        <v>237.5</v>
      </c>
      <c r="G18" s="17" t="s">
        <v>89</v>
      </c>
      <c r="H18" s="17"/>
    </row>
    <row r="19" spans="2:10" x14ac:dyDescent="0.25">
      <c r="B19" s="45"/>
      <c r="C19" s="31">
        <v>111</v>
      </c>
      <c r="D19" s="50" t="s">
        <v>149</v>
      </c>
      <c r="E19" s="11" t="s">
        <v>150</v>
      </c>
      <c r="F19" s="11">
        <v>216.6</v>
      </c>
      <c r="G19" s="29" t="s">
        <v>78</v>
      </c>
      <c r="H19" s="30"/>
    </row>
    <row r="20" spans="2:10" ht="33" x14ac:dyDescent="0.25">
      <c r="B20" s="45"/>
      <c r="C20" s="33"/>
      <c r="D20" s="51"/>
      <c r="E20" s="11" t="s">
        <v>163</v>
      </c>
      <c r="F20" s="11">
        <v>215.6</v>
      </c>
      <c r="G20" s="18" t="s">
        <v>202</v>
      </c>
      <c r="H20" s="17"/>
      <c r="J20" s="15" t="s">
        <v>208</v>
      </c>
    </row>
    <row r="21" spans="2:10" x14ac:dyDescent="0.25">
      <c r="B21" s="45"/>
      <c r="C21" s="31">
        <v>113</v>
      </c>
      <c r="D21" s="47" t="s">
        <v>151</v>
      </c>
      <c r="E21" s="11" t="s">
        <v>217</v>
      </c>
      <c r="F21" s="11"/>
      <c r="G21" s="29" t="s">
        <v>78</v>
      </c>
      <c r="H21" s="30"/>
    </row>
    <row r="22" spans="2:10" x14ac:dyDescent="0.25">
      <c r="B22" s="45"/>
      <c r="C22" s="32"/>
      <c r="D22" s="48"/>
      <c r="E22" s="11" t="s">
        <v>152</v>
      </c>
      <c r="F22" s="11"/>
      <c r="G22" s="29" t="s">
        <v>78</v>
      </c>
      <c r="H22" s="30"/>
      <c r="J22" s="15" t="s">
        <v>209</v>
      </c>
    </row>
    <row r="23" spans="2:10" x14ac:dyDescent="0.25">
      <c r="B23" s="45"/>
      <c r="C23" s="32"/>
      <c r="D23" s="48"/>
      <c r="E23" s="11" t="s">
        <v>153</v>
      </c>
      <c r="F23" s="11"/>
      <c r="G23" s="17" t="s">
        <v>203</v>
      </c>
      <c r="H23" s="17"/>
    </row>
    <row r="24" spans="2:10" x14ac:dyDescent="0.25">
      <c r="B24" s="45"/>
      <c r="C24" s="32"/>
      <c r="D24" s="48"/>
      <c r="E24" s="11" t="s">
        <v>154</v>
      </c>
      <c r="F24" s="11"/>
      <c r="G24" s="11" t="s">
        <v>131</v>
      </c>
      <c r="H24" s="17"/>
    </row>
    <row r="25" spans="2:10" ht="33" x14ac:dyDescent="0.25">
      <c r="B25" s="45"/>
      <c r="C25" s="32"/>
      <c r="D25" s="48"/>
      <c r="E25" s="11" t="s">
        <v>155</v>
      </c>
      <c r="F25" s="11"/>
      <c r="G25" s="12" t="s">
        <v>204</v>
      </c>
      <c r="H25" s="17"/>
    </row>
    <row r="26" spans="2:10" x14ac:dyDescent="0.25">
      <c r="B26" s="45"/>
      <c r="C26" s="32"/>
      <c r="D26" s="48"/>
      <c r="E26" s="11" t="s">
        <v>156</v>
      </c>
      <c r="F26" s="11"/>
      <c r="G26" s="11" t="s">
        <v>95</v>
      </c>
      <c r="H26" s="17"/>
    </row>
    <row r="27" spans="2:10" x14ac:dyDescent="0.25">
      <c r="B27" s="45"/>
      <c r="C27" s="32"/>
      <c r="D27" s="48"/>
      <c r="E27" s="11" t="s">
        <v>157</v>
      </c>
      <c r="F27" s="11"/>
      <c r="G27" s="17" t="s">
        <v>25</v>
      </c>
      <c r="H27" s="17"/>
      <c r="J27" s="15" t="s">
        <v>211</v>
      </c>
    </row>
    <row r="28" spans="2:10" x14ac:dyDescent="0.25">
      <c r="B28" s="45"/>
      <c r="C28" s="33"/>
      <c r="D28" s="49"/>
      <c r="E28" s="11" t="s">
        <v>164</v>
      </c>
      <c r="F28" s="11"/>
      <c r="G28" s="17" t="s">
        <v>53</v>
      </c>
      <c r="H28" s="17"/>
      <c r="J28" s="15" t="s">
        <v>210</v>
      </c>
    </row>
    <row r="29" spans="2:10" x14ac:dyDescent="0.25">
      <c r="B29" s="45"/>
      <c r="C29" s="31">
        <v>114</v>
      </c>
      <c r="D29" s="47" t="s">
        <v>165</v>
      </c>
      <c r="E29" s="11" t="s">
        <v>218</v>
      </c>
      <c r="F29" s="11"/>
      <c r="G29" s="29" t="s">
        <v>78</v>
      </c>
      <c r="H29" s="30"/>
    </row>
    <row r="30" spans="2:10" x14ac:dyDescent="0.25">
      <c r="B30" s="45"/>
      <c r="C30" s="32"/>
      <c r="D30" s="48"/>
      <c r="E30" s="11" t="s">
        <v>166</v>
      </c>
      <c r="F30" s="11"/>
      <c r="G30" s="34" t="s">
        <v>205</v>
      </c>
      <c r="H30" s="35"/>
    </row>
    <row r="31" spans="2:10" x14ac:dyDescent="0.25">
      <c r="B31" s="45"/>
      <c r="C31" s="32"/>
      <c r="D31" s="48"/>
      <c r="E31" s="11" t="s">
        <v>167</v>
      </c>
      <c r="F31" s="11"/>
      <c r="G31" s="36"/>
      <c r="H31" s="37"/>
      <c r="J31" s="15" t="s">
        <v>212</v>
      </c>
    </row>
    <row r="32" spans="2:10" x14ac:dyDescent="0.25">
      <c r="B32" s="45"/>
      <c r="C32" s="32"/>
      <c r="D32" s="48"/>
      <c r="E32" s="11" t="s">
        <v>168</v>
      </c>
      <c r="F32" s="11"/>
      <c r="G32" s="36"/>
      <c r="H32" s="37"/>
    </row>
    <row r="33" spans="2:8" x14ac:dyDescent="0.25">
      <c r="B33" s="45"/>
      <c r="C33" s="33"/>
      <c r="D33" s="49"/>
      <c r="E33" s="11" t="s">
        <v>169</v>
      </c>
      <c r="F33" s="11"/>
      <c r="G33" s="38"/>
      <c r="H33" s="39"/>
    </row>
    <row r="34" spans="2:8" x14ac:dyDescent="0.25">
      <c r="B34" s="45"/>
      <c r="C34" s="31">
        <v>114</v>
      </c>
      <c r="D34" s="47" t="s">
        <v>170</v>
      </c>
      <c r="E34" s="11" t="s">
        <v>219</v>
      </c>
      <c r="F34" s="11"/>
      <c r="G34" s="29" t="s">
        <v>78</v>
      </c>
      <c r="H34" s="30"/>
    </row>
    <row r="35" spans="2:8" x14ac:dyDescent="0.25">
      <c r="B35" s="45"/>
      <c r="C35" s="32"/>
      <c r="D35" s="48"/>
      <c r="E35" s="11" t="s">
        <v>171</v>
      </c>
      <c r="F35" s="11"/>
      <c r="G35" s="34" t="s">
        <v>205</v>
      </c>
      <c r="H35" s="35"/>
    </row>
    <row r="36" spans="2:8" x14ac:dyDescent="0.25">
      <c r="B36" s="45"/>
      <c r="C36" s="32"/>
      <c r="D36" s="48"/>
      <c r="E36" s="11" t="s">
        <v>172</v>
      </c>
      <c r="F36" s="11"/>
      <c r="G36" s="36"/>
      <c r="H36" s="37"/>
    </row>
    <row r="37" spans="2:8" x14ac:dyDescent="0.25">
      <c r="B37" s="45"/>
      <c r="C37" s="32"/>
      <c r="D37" s="48"/>
      <c r="E37" s="11" t="s">
        <v>173</v>
      </c>
      <c r="F37" s="11"/>
      <c r="G37" s="36"/>
      <c r="H37" s="37"/>
    </row>
    <row r="38" spans="2:8" x14ac:dyDescent="0.25">
      <c r="B38" s="45"/>
      <c r="C38" s="32"/>
      <c r="D38" s="48"/>
      <c r="E38" s="11" t="s">
        <v>174</v>
      </c>
      <c r="F38" s="11"/>
      <c r="G38" s="36"/>
      <c r="H38" s="37"/>
    </row>
    <row r="39" spans="2:8" x14ac:dyDescent="0.25">
      <c r="B39" s="45"/>
      <c r="C39" s="32"/>
      <c r="D39" s="48"/>
      <c r="E39" s="11" t="s">
        <v>175</v>
      </c>
      <c r="F39" s="11"/>
      <c r="G39" s="36"/>
      <c r="H39" s="37"/>
    </row>
    <row r="40" spans="2:8" x14ac:dyDescent="0.25">
      <c r="B40" s="46"/>
      <c r="C40" s="33"/>
      <c r="D40" s="49"/>
      <c r="E40" s="11" t="s">
        <v>176</v>
      </c>
      <c r="F40" s="11"/>
      <c r="G40" s="38"/>
      <c r="H40" s="39"/>
    </row>
    <row r="41" spans="2:8" x14ac:dyDescent="0.25">
      <c r="B41" s="13"/>
    </row>
    <row r="42" spans="2:8" x14ac:dyDescent="0.25">
      <c r="B42" s="19" t="s">
        <v>189</v>
      </c>
      <c r="C42" s="19" t="s">
        <v>188</v>
      </c>
      <c r="D42" s="19" t="s">
        <v>185</v>
      </c>
      <c r="E42" s="19" t="s">
        <v>220</v>
      </c>
      <c r="F42" s="19"/>
      <c r="G42" s="19" t="s">
        <v>186</v>
      </c>
      <c r="H42" s="19" t="s">
        <v>187</v>
      </c>
    </row>
    <row r="43" spans="2:8" ht="16.5" customHeight="1" x14ac:dyDescent="0.25">
      <c r="B43" s="43" t="s">
        <v>192</v>
      </c>
      <c r="C43" s="31">
        <v>112</v>
      </c>
      <c r="D43" s="40" t="s">
        <v>177</v>
      </c>
      <c r="E43" s="11" t="s">
        <v>182</v>
      </c>
      <c r="F43" s="11"/>
      <c r="G43" s="11" t="s">
        <v>133</v>
      </c>
      <c r="H43" s="17"/>
    </row>
    <row r="44" spans="2:8" x14ac:dyDescent="0.25">
      <c r="B44" s="43"/>
      <c r="C44" s="33"/>
      <c r="D44" s="41"/>
      <c r="E44" s="11" t="s">
        <v>183</v>
      </c>
      <c r="F44" s="11"/>
      <c r="G44" s="11" t="s">
        <v>132</v>
      </c>
      <c r="H44" s="17"/>
    </row>
    <row r="45" spans="2:8" x14ac:dyDescent="0.25">
      <c r="B45" s="13"/>
    </row>
    <row r="46" spans="2:8" x14ac:dyDescent="0.25">
      <c r="B46" s="19" t="s">
        <v>189</v>
      </c>
      <c r="C46" s="19" t="s">
        <v>188</v>
      </c>
      <c r="D46" s="19" t="s">
        <v>185</v>
      </c>
      <c r="E46" s="19" t="s">
        <v>220</v>
      </c>
      <c r="F46" s="19"/>
      <c r="G46" s="19" t="s">
        <v>186</v>
      </c>
      <c r="H46" s="19" t="s">
        <v>187</v>
      </c>
    </row>
    <row r="47" spans="2:8" x14ac:dyDescent="0.25">
      <c r="B47" s="43" t="s">
        <v>193</v>
      </c>
      <c r="C47" s="31">
        <v>114</v>
      </c>
      <c r="D47" s="40" t="s">
        <v>178</v>
      </c>
      <c r="E47" s="17" t="s">
        <v>179</v>
      </c>
      <c r="F47" s="17"/>
      <c r="G47" s="11" t="s">
        <v>134</v>
      </c>
      <c r="H47" s="17"/>
    </row>
    <row r="48" spans="2:8" x14ac:dyDescent="0.25">
      <c r="B48" s="43"/>
      <c r="C48" s="32"/>
      <c r="D48" s="42"/>
      <c r="E48" s="17" t="s">
        <v>180</v>
      </c>
      <c r="F48" s="17"/>
      <c r="G48" s="11" t="s">
        <v>135</v>
      </c>
      <c r="H48" s="17"/>
    </row>
    <row r="49" spans="2:8" x14ac:dyDescent="0.25">
      <c r="B49" s="43"/>
      <c r="C49" s="33"/>
      <c r="D49" s="41"/>
      <c r="E49" s="17" t="s">
        <v>181</v>
      </c>
      <c r="F49" s="17"/>
      <c r="G49" s="17" t="s">
        <v>78</v>
      </c>
      <c r="H49" s="17"/>
    </row>
    <row r="50" spans="2:8" x14ac:dyDescent="0.25">
      <c r="B50" s="13"/>
    </row>
    <row r="51" spans="2:8" x14ac:dyDescent="0.25">
      <c r="B51" s="13"/>
    </row>
    <row r="52" spans="2:8" x14ac:dyDescent="0.25">
      <c r="B52" s="13"/>
    </row>
    <row r="53" spans="2:8" x14ac:dyDescent="0.25">
      <c r="B53" s="13"/>
    </row>
    <row r="54" spans="2:8" x14ac:dyDescent="0.25">
      <c r="B54" s="13"/>
    </row>
  </sheetData>
  <mergeCells count="30">
    <mergeCell ref="B47:B49"/>
    <mergeCell ref="B10:B40"/>
    <mergeCell ref="D29:D33"/>
    <mergeCell ref="D21:D28"/>
    <mergeCell ref="D10:D15"/>
    <mergeCell ref="C10:C15"/>
    <mergeCell ref="D19:D20"/>
    <mergeCell ref="C19:C20"/>
    <mergeCell ref="D16:D18"/>
    <mergeCell ref="C16:C18"/>
    <mergeCell ref="D34:D40"/>
    <mergeCell ref="C34:C40"/>
    <mergeCell ref="C29:C33"/>
    <mergeCell ref="G29:H29"/>
    <mergeCell ref="G34:H34"/>
    <mergeCell ref="G10:H10"/>
    <mergeCell ref="B3:B7"/>
    <mergeCell ref="B43:B44"/>
    <mergeCell ref="G35:H40"/>
    <mergeCell ref="G30:H33"/>
    <mergeCell ref="C47:C49"/>
    <mergeCell ref="D43:D44"/>
    <mergeCell ref="D47:D49"/>
    <mergeCell ref="C43:C44"/>
    <mergeCell ref="G11:H11"/>
    <mergeCell ref="G22:H22"/>
    <mergeCell ref="G16:H16"/>
    <mergeCell ref="G19:H19"/>
    <mergeCell ref="C21:C28"/>
    <mergeCell ref="G21:H2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4E120-F73E-4B40-8408-AE4F29CA6EBF}">
  <dimension ref="B1:N49"/>
  <sheetViews>
    <sheetView topLeftCell="B1" zoomScale="115" zoomScaleNormal="115" workbookViewId="0">
      <pane ySplit="1" topLeftCell="A32" activePane="bottomLeft" state="frozen"/>
      <selection pane="bottomLeft" activeCell="S11" sqref="S11"/>
    </sheetView>
  </sheetViews>
  <sheetFormatPr defaultRowHeight="16.5" x14ac:dyDescent="0.25"/>
  <cols>
    <col min="1" max="1" width="2.25" style="15" customWidth="1"/>
    <col min="2" max="2" width="9" style="23"/>
    <col min="3" max="3" width="9" style="14"/>
    <col min="4" max="4" width="0.875" style="15" customWidth="1"/>
    <col min="5" max="5" width="9" style="23"/>
    <col min="6" max="6" width="9" style="24"/>
    <col min="7" max="7" width="0.75" style="15" customWidth="1"/>
    <col min="8" max="8" width="10" style="14" customWidth="1"/>
    <col min="9" max="9" width="9" style="24"/>
    <col min="10" max="10" width="9.5" style="24" bestFit="1" customWidth="1"/>
    <col min="11" max="11" width="1.125" style="15" customWidth="1"/>
    <col min="12" max="12" width="9" style="14"/>
    <col min="13" max="16384" width="9" style="15"/>
  </cols>
  <sheetData>
    <row r="1" spans="2:14" s="14" customFormat="1" x14ac:dyDescent="0.25">
      <c r="B1" s="14" t="s">
        <v>223</v>
      </c>
      <c r="C1" s="14" t="s">
        <v>214</v>
      </c>
      <c r="E1" s="14" t="s">
        <v>224</v>
      </c>
      <c r="F1" s="14" t="s">
        <v>214</v>
      </c>
      <c r="H1" s="14" t="s">
        <v>222</v>
      </c>
      <c r="I1" s="14" t="s">
        <v>225</v>
      </c>
      <c r="J1" s="14" t="s">
        <v>221</v>
      </c>
    </row>
    <row r="2" spans="2:14" x14ac:dyDescent="0.25">
      <c r="B2" s="23" t="s">
        <v>146</v>
      </c>
      <c r="C2" s="24">
        <v>258.2</v>
      </c>
      <c r="E2" s="23" t="s">
        <v>147</v>
      </c>
      <c r="F2" s="24">
        <v>250.1</v>
      </c>
      <c r="H2" s="14" t="s">
        <v>231</v>
      </c>
      <c r="I2" s="24">
        <f>C2-F2</f>
        <v>8.0999999999999943</v>
      </c>
      <c r="J2" s="24">
        <v>49</v>
      </c>
      <c r="M2" s="14"/>
      <c r="N2" s="14"/>
    </row>
    <row r="3" spans="2:14" x14ac:dyDescent="0.25">
      <c r="B3" s="23" t="s">
        <v>147</v>
      </c>
      <c r="C3" s="24">
        <f>F$2</f>
        <v>250.1</v>
      </c>
      <c r="E3" s="23" t="s">
        <v>158</v>
      </c>
      <c r="F3" s="25">
        <v>246.3</v>
      </c>
      <c r="H3" s="14" t="s">
        <v>243</v>
      </c>
      <c r="I3" s="24">
        <f>C3-F3</f>
        <v>3.7999999999999829</v>
      </c>
      <c r="J3" s="24">
        <v>27</v>
      </c>
      <c r="K3" s="15">
        <v>27</v>
      </c>
      <c r="M3" s="14"/>
      <c r="N3" s="14"/>
    </row>
    <row r="4" spans="2:14" x14ac:dyDescent="0.25">
      <c r="B4" s="23" t="s">
        <v>147</v>
      </c>
      <c r="C4" s="24">
        <f>F$2</f>
        <v>250.1</v>
      </c>
      <c r="E4" s="23" t="s">
        <v>216</v>
      </c>
      <c r="F4" s="24">
        <v>226</v>
      </c>
      <c r="H4" s="14" t="s">
        <v>232</v>
      </c>
      <c r="I4" s="24">
        <f>C4-F4</f>
        <v>24.099999999999994</v>
      </c>
      <c r="J4" s="24">
        <f>J3+K4</f>
        <v>166</v>
      </c>
      <c r="K4" s="15">
        <v>139</v>
      </c>
      <c r="M4" s="13"/>
      <c r="N4" s="13"/>
    </row>
    <row r="5" spans="2:14" x14ac:dyDescent="0.25">
      <c r="B5" s="23" t="s">
        <v>216</v>
      </c>
      <c r="C5" s="24">
        <f>F$4</f>
        <v>226</v>
      </c>
      <c r="E5" s="23" t="s">
        <v>159</v>
      </c>
      <c r="F5" s="25">
        <v>226</v>
      </c>
      <c r="H5" s="14" t="s">
        <v>234</v>
      </c>
      <c r="I5" s="24">
        <f>C5-F5</f>
        <v>0</v>
      </c>
      <c r="J5" s="24">
        <f>K5</f>
        <v>0.5</v>
      </c>
      <c r="K5" s="15">
        <v>0.5</v>
      </c>
      <c r="M5" s="13"/>
      <c r="N5" s="13"/>
    </row>
    <row r="6" spans="2:14" x14ac:dyDescent="0.25">
      <c r="B6" s="23" t="s">
        <v>216</v>
      </c>
      <c r="C6" s="24">
        <f>F$4</f>
        <v>226</v>
      </c>
      <c r="E6" s="23" t="s">
        <v>160</v>
      </c>
      <c r="F6" s="25">
        <v>225.8</v>
      </c>
      <c r="H6" s="14" t="s">
        <v>231</v>
      </c>
      <c r="I6" s="24">
        <f>C6-F6</f>
        <v>0.19999999999998863</v>
      </c>
      <c r="J6" s="24">
        <f>K6</f>
        <v>18</v>
      </c>
      <c r="K6" s="15">
        <v>18</v>
      </c>
      <c r="M6" s="13"/>
      <c r="N6" s="13"/>
    </row>
    <row r="7" spans="2:14" x14ac:dyDescent="0.25">
      <c r="C7" s="24"/>
    </row>
    <row r="8" spans="2:14" x14ac:dyDescent="0.25">
      <c r="C8" s="24"/>
    </row>
    <row r="9" spans="2:14" x14ac:dyDescent="0.25">
      <c r="B9" s="23" t="s">
        <v>148</v>
      </c>
      <c r="C9" s="24">
        <v>249.1</v>
      </c>
      <c r="E9" s="23" t="s">
        <v>161</v>
      </c>
      <c r="F9" s="24">
        <v>248</v>
      </c>
      <c r="H9" s="14" t="s">
        <v>231</v>
      </c>
      <c r="I9" s="24">
        <f>C9-F9</f>
        <v>1.0999999999999943</v>
      </c>
      <c r="J9" s="24">
        <v>23</v>
      </c>
    </row>
    <row r="10" spans="2:14" x14ac:dyDescent="0.25">
      <c r="B10" s="23" t="s">
        <v>148</v>
      </c>
      <c r="C10" s="24">
        <v>249.1</v>
      </c>
      <c r="E10" s="23" t="s">
        <v>215</v>
      </c>
      <c r="F10" s="24">
        <v>237.5</v>
      </c>
      <c r="H10" s="14" t="s">
        <v>232</v>
      </c>
      <c r="I10" s="24">
        <f>C10-F10</f>
        <v>11.599999999999994</v>
      </c>
      <c r="J10" s="24">
        <v>60</v>
      </c>
    </row>
    <row r="11" spans="2:14" x14ac:dyDescent="0.25">
      <c r="B11" s="23" t="s">
        <v>215</v>
      </c>
      <c r="C11" s="24">
        <v>237.5</v>
      </c>
      <c r="E11" s="57" t="s">
        <v>162</v>
      </c>
      <c r="F11" s="24">
        <f>C11-0.8</f>
        <v>236.7</v>
      </c>
      <c r="H11" s="14" t="s">
        <v>232</v>
      </c>
      <c r="I11" s="24">
        <f>C11-F11</f>
        <v>0.80000000000001137</v>
      </c>
      <c r="J11" s="24">
        <v>1</v>
      </c>
    </row>
    <row r="12" spans="2:14" x14ac:dyDescent="0.25">
      <c r="C12" s="24"/>
      <c r="E12" s="57"/>
      <c r="H12" s="14" t="s">
        <v>233</v>
      </c>
    </row>
    <row r="13" spans="2:14" x14ac:dyDescent="0.25">
      <c r="C13" s="24"/>
    </row>
    <row r="14" spans="2:14" x14ac:dyDescent="0.25">
      <c r="B14" s="23" t="s">
        <v>149</v>
      </c>
      <c r="C14" s="26"/>
      <c r="E14" s="23" t="s">
        <v>150</v>
      </c>
      <c r="F14" s="26"/>
      <c r="H14" s="14" t="s">
        <v>231</v>
      </c>
      <c r="I14" s="26"/>
      <c r="J14" s="26"/>
    </row>
    <row r="15" spans="2:14" x14ac:dyDescent="0.25">
      <c r="B15" s="23" t="s">
        <v>150</v>
      </c>
      <c r="C15" s="26"/>
      <c r="E15" s="57" t="s">
        <v>163</v>
      </c>
      <c r="F15" s="26"/>
      <c r="H15" s="14" t="s">
        <v>232</v>
      </c>
      <c r="I15" s="26"/>
      <c r="J15" s="26"/>
    </row>
    <row r="16" spans="2:14" x14ac:dyDescent="0.25">
      <c r="C16" s="26"/>
      <c r="E16" s="57"/>
      <c r="F16" s="26"/>
      <c r="H16" s="14" t="s">
        <v>233</v>
      </c>
      <c r="I16" s="26"/>
      <c r="J16" s="26"/>
    </row>
    <row r="17" spans="2:12" x14ac:dyDescent="0.25">
      <c r="C17" s="24"/>
    </row>
    <row r="18" spans="2:12" x14ac:dyDescent="0.25">
      <c r="B18" s="23" t="s">
        <v>151</v>
      </c>
      <c r="C18" s="27">
        <v>143.29</v>
      </c>
      <c r="E18" s="23" t="s">
        <v>217</v>
      </c>
      <c r="F18" s="27">
        <v>136.44999999999999</v>
      </c>
      <c r="H18" s="14" t="s">
        <v>235</v>
      </c>
      <c r="I18" s="27">
        <f>C18-F18</f>
        <v>6.8400000000000034</v>
      </c>
      <c r="J18" s="24">
        <v>40</v>
      </c>
    </row>
    <row r="19" spans="2:12" x14ac:dyDescent="0.25">
      <c r="B19" s="23" t="s">
        <v>217</v>
      </c>
      <c r="C19" s="27">
        <v>138.5</v>
      </c>
      <c r="E19" s="28" t="s">
        <v>152</v>
      </c>
      <c r="F19" s="27">
        <v>138.4</v>
      </c>
      <c r="H19" s="14" t="s">
        <v>237</v>
      </c>
      <c r="I19" s="27">
        <f>C19-F19</f>
        <v>9.9999999999994316E-2</v>
      </c>
      <c r="J19" s="24">
        <v>1</v>
      </c>
    </row>
    <row r="20" spans="2:12" x14ac:dyDescent="0.25">
      <c r="B20" s="23" t="s">
        <v>217</v>
      </c>
      <c r="C20" s="27">
        <f>C$19</f>
        <v>138.5</v>
      </c>
      <c r="E20" s="23" t="s">
        <v>242</v>
      </c>
      <c r="F20" s="27">
        <v>121.08</v>
      </c>
      <c r="H20" s="14" t="s">
        <v>239</v>
      </c>
      <c r="I20" s="27">
        <f t="shared" ref="I20:I28" si="0">C20-F20</f>
        <v>17.420000000000002</v>
      </c>
      <c r="J20" s="24">
        <v>120</v>
      </c>
      <c r="K20" s="15">
        <v>120</v>
      </c>
    </row>
    <row r="21" spans="2:12" x14ac:dyDescent="0.25">
      <c r="B21" s="23" t="s">
        <v>242</v>
      </c>
      <c r="C21" s="27">
        <v>121.08</v>
      </c>
      <c r="E21" s="28" t="s">
        <v>226</v>
      </c>
      <c r="F21" s="27">
        <v>120.8</v>
      </c>
      <c r="H21" s="14" t="s">
        <v>241</v>
      </c>
      <c r="I21" s="27">
        <f t="shared" si="0"/>
        <v>0.28000000000000114</v>
      </c>
      <c r="J21" s="24">
        <v>8</v>
      </c>
    </row>
    <row r="22" spans="2:12" x14ac:dyDescent="0.25">
      <c r="B22" s="23" t="s">
        <v>217</v>
      </c>
      <c r="C22" s="27">
        <f>C$19</f>
        <v>138.5</v>
      </c>
      <c r="E22" s="28" t="s">
        <v>227</v>
      </c>
      <c r="F22" s="27">
        <v>109.9</v>
      </c>
      <c r="H22" s="14" t="s">
        <v>238</v>
      </c>
      <c r="I22" s="27">
        <f t="shared" si="0"/>
        <v>28.599999999999994</v>
      </c>
      <c r="J22" s="24">
        <f>J20+K22</f>
        <v>221</v>
      </c>
      <c r="K22" s="15">
        <v>101</v>
      </c>
      <c r="L22" s="14" t="s">
        <v>52</v>
      </c>
    </row>
    <row r="23" spans="2:12" x14ac:dyDescent="0.25">
      <c r="B23" s="23" t="s">
        <v>217</v>
      </c>
      <c r="C23" s="27">
        <f>C$19</f>
        <v>138.5</v>
      </c>
      <c r="E23" s="28" t="s">
        <v>228</v>
      </c>
      <c r="F23" s="27">
        <v>103.52</v>
      </c>
      <c r="H23" s="14" t="s">
        <v>238</v>
      </c>
      <c r="I23" s="27">
        <f t="shared" si="0"/>
        <v>34.980000000000004</v>
      </c>
      <c r="J23" s="24">
        <f>J22+K23</f>
        <v>307</v>
      </c>
      <c r="K23" s="15">
        <v>86</v>
      </c>
    </row>
    <row r="24" spans="2:12" x14ac:dyDescent="0.25">
      <c r="B24" s="23" t="s">
        <v>217</v>
      </c>
      <c r="C24" s="27">
        <f>C$19</f>
        <v>138.5</v>
      </c>
      <c r="E24" s="28" t="s">
        <v>229</v>
      </c>
      <c r="F24" s="27">
        <v>96.45</v>
      </c>
      <c r="H24" s="14" t="s">
        <v>238</v>
      </c>
      <c r="I24" s="27">
        <f t="shared" si="0"/>
        <v>42.05</v>
      </c>
      <c r="J24" s="24">
        <f>J23+K24</f>
        <v>395</v>
      </c>
      <c r="K24" s="15">
        <v>88</v>
      </c>
      <c r="L24" s="14" t="s">
        <v>96</v>
      </c>
    </row>
    <row r="25" spans="2:12" x14ac:dyDescent="0.25">
      <c r="B25" s="23" t="s">
        <v>217</v>
      </c>
      <c r="C25" s="27">
        <f>C$19</f>
        <v>138.5</v>
      </c>
      <c r="E25" s="28" t="s">
        <v>157</v>
      </c>
      <c r="F25" s="27">
        <v>92.73</v>
      </c>
      <c r="H25" s="14" t="s">
        <v>238</v>
      </c>
      <c r="I25" s="27">
        <f t="shared" si="0"/>
        <v>45.769999999999996</v>
      </c>
      <c r="J25" s="24">
        <f>J24+K25</f>
        <v>461</v>
      </c>
      <c r="K25" s="15">
        <v>66</v>
      </c>
    </row>
    <row r="26" spans="2:12" ht="6.75" customHeight="1" x14ac:dyDescent="0.25">
      <c r="C26" s="24"/>
    </row>
    <row r="27" spans="2:12" x14ac:dyDescent="0.25">
      <c r="B27" s="23" t="s">
        <v>217</v>
      </c>
      <c r="C27" s="27">
        <f>C$19</f>
        <v>138.5</v>
      </c>
      <c r="E27" s="28" t="s">
        <v>164</v>
      </c>
      <c r="F27" s="24">
        <v>90.33</v>
      </c>
      <c r="H27" s="14" t="s">
        <v>239</v>
      </c>
      <c r="I27" s="24">
        <f t="shared" si="0"/>
        <v>48.17</v>
      </c>
      <c r="J27" s="24">
        <f>J25+K27</f>
        <v>474</v>
      </c>
      <c r="K27" s="15">
        <v>13</v>
      </c>
    </row>
    <row r="28" spans="2:12" x14ac:dyDescent="0.25">
      <c r="B28" s="23" t="s">
        <v>217</v>
      </c>
      <c r="C28" s="27">
        <f>C$19</f>
        <v>138.5</v>
      </c>
      <c r="E28" s="28" t="s">
        <v>230</v>
      </c>
      <c r="F28" s="24">
        <v>90.33</v>
      </c>
      <c r="H28" s="14" t="s">
        <v>240</v>
      </c>
      <c r="I28" s="24">
        <f t="shared" si="0"/>
        <v>48.17</v>
      </c>
      <c r="J28" s="24">
        <f>J27+K28</f>
        <v>474</v>
      </c>
    </row>
    <row r="29" spans="2:12" x14ac:dyDescent="0.25">
      <c r="C29" s="24"/>
    </row>
    <row r="30" spans="2:12" x14ac:dyDescent="0.25">
      <c r="C30" s="24"/>
    </row>
    <row r="31" spans="2:12" x14ac:dyDescent="0.25">
      <c r="B31" s="23" t="s">
        <v>165</v>
      </c>
      <c r="C31" s="24">
        <v>99.8</v>
      </c>
      <c r="E31" s="23" t="s">
        <v>218</v>
      </c>
      <c r="F31" s="24">
        <v>89.9</v>
      </c>
      <c r="H31" s="14" t="s">
        <v>236</v>
      </c>
      <c r="I31" s="24">
        <f t="shared" ref="I31:I49" si="1">C31-F31</f>
        <v>9.8999999999999915</v>
      </c>
      <c r="J31" s="24">
        <v>164</v>
      </c>
    </row>
    <row r="32" spans="2:12" x14ac:dyDescent="0.25">
      <c r="B32" s="23" t="s">
        <v>218</v>
      </c>
      <c r="C32" s="24">
        <f>F$31</f>
        <v>89.9</v>
      </c>
      <c r="E32" s="23" t="s">
        <v>245</v>
      </c>
      <c r="F32" s="24">
        <v>47.98</v>
      </c>
      <c r="H32" s="14" t="s">
        <v>244</v>
      </c>
      <c r="I32" s="24">
        <f t="shared" si="1"/>
        <v>41.920000000000009</v>
      </c>
      <c r="J32" s="24">
        <v>892</v>
      </c>
      <c r="L32" s="14">
        <v>892</v>
      </c>
    </row>
    <row r="33" spans="2:12" x14ac:dyDescent="0.25">
      <c r="B33" s="23" t="s">
        <v>245</v>
      </c>
      <c r="C33" s="24">
        <f>F32</f>
        <v>47.98</v>
      </c>
      <c r="E33" s="23" t="s">
        <v>166</v>
      </c>
      <c r="F33" s="24">
        <v>51.18</v>
      </c>
      <c r="H33" s="14" t="s">
        <v>238</v>
      </c>
      <c r="I33" s="24">
        <f t="shared" si="1"/>
        <v>-3.2000000000000028</v>
      </c>
      <c r="J33" s="24">
        <f>L33</f>
        <v>63</v>
      </c>
      <c r="L33" s="14">
        <v>63</v>
      </c>
    </row>
    <row r="34" spans="2:12" x14ac:dyDescent="0.25">
      <c r="B34" s="23" t="s">
        <v>218</v>
      </c>
      <c r="C34" s="24">
        <f>F$31</f>
        <v>89.9</v>
      </c>
      <c r="E34" s="23" t="s">
        <v>246</v>
      </c>
      <c r="F34" s="24">
        <v>44.55</v>
      </c>
      <c r="H34" s="14" t="s">
        <v>231</v>
      </c>
      <c r="I34" s="24">
        <f t="shared" si="1"/>
        <v>45.350000000000009</v>
      </c>
      <c r="J34" s="24">
        <f>J32+L34</f>
        <v>1167</v>
      </c>
      <c r="L34" s="14">
        <v>275</v>
      </c>
    </row>
    <row r="35" spans="2:12" x14ac:dyDescent="0.25">
      <c r="B35" s="23" t="s">
        <v>246</v>
      </c>
      <c r="C35" s="24">
        <f>F34</f>
        <v>44.55</v>
      </c>
      <c r="E35" s="23" t="s">
        <v>167</v>
      </c>
      <c r="F35" s="24">
        <v>46.13</v>
      </c>
      <c r="H35" s="14" t="s">
        <v>238</v>
      </c>
      <c r="I35" s="24">
        <f t="shared" si="1"/>
        <v>-1.5800000000000054</v>
      </c>
      <c r="J35" s="24">
        <f>L35</f>
        <v>20</v>
      </c>
      <c r="L35" s="14">
        <v>20</v>
      </c>
    </row>
    <row r="36" spans="2:12" x14ac:dyDescent="0.25">
      <c r="B36" s="23" t="s">
        <v>218</v>
      </c>
      <c r="C36" s="24">
        <f>F$31</f>
        <v>89.9</v>
      </c>
      <c r="E36" s="23" t="s">
        <v>247</v>
      </c>
      <c r="F36" s="24">
        <v>42.75</v>
      </c>
      <c r="H36" s="14" t="s">
        <v>231</v>
      </c>
      <c r="I36" s="24">
        <f t="shared" si="1"/>
        <v>47.150000000000006</v>
      </c>
      <c r="J36" s="24">
        <f>J34+L36</f>
        <v>1256</v>
      </c>
      <c r="L36" s="14">
        <v>89</v>
      </c>
    </row>
    <row r="37" spans="2:12" x14ac:dyDescent="0.25">
      <c r="B37" s="23" t="s">
        <v>247</v>
      </c>
      <c r="C37" s="24">
        <f>F36</f>
        <v>42.75</v>
      </c>
      <c r="E37" s="23" t="s">
        <v>168</v>
      </c>
      <c r="F37" s="15">
        <v>42.1</v>
      </c>
      <c r="H37" s="14" t="s">
        <v>238</v>
      </c>
      <c r="I37" s="24">
        <f t="shared" si="1"/>
        <v>0.64999999999999858</v>
      </c>
      <c r="J37" s="24">
        <f>L37</f>
        <v>10</v>
      </c>
      <c r="L37" s="14">
        <v>10</v>
      </c>
    </row>
    <row r="38" spans="2:12" x14ac:dyDescent="0.25">
      <c r="B38" s="23" t="s">
        <v>218</v>
      </c>
      <c r="C38" s="24">
        <f>F$31</f>
        <v>89.9</v>
      </c>
      <c r="E38" s="23" t="s">
        <v>169</v>
      </c>
      <c r="F38" s="24">
        <v>46.3</v>
      </c>
      <c r="H38" s="14" t="s">
        <v>238</v>
      </c>
      <c r="I38" s="24">
        <f t="shared" si="1"/>
        <v>43.600000000000009</v>
      </c>
      <c r="J38" s="24">
        <f>J36+L38</f>
        <v>1427</v>
      </c>
      <c r="L38" s="14">
        <v>171</v>
      </c>
    </row>
    <row r="39" spans="2:12" x14ac:dyDescent="0.25">
      <c r="C39" s="24"/>
    </row>
    <row r="40" spans="2:12" x14ac:dyDescent="0.25">
      <c r="B40" s="23" t="s">
        <v>170</v>
      </c>
      <c r="C40" s="24">
        <v>73</v>
      </c>
      <c r="E40" s="23" t="s">
        <v>248</v>
      </c>
      <c r="F40" s="24">
        <v>67.2</v>
      </c>
      <c r="H40" s="14" t="s">
        <v>238</v>
      </c>
      <c r="I40" s="24">
        <f t="shared" si="1"/>
        <v>5.7999999999999972</v>
      </c>
      <c r="J40" s="24">
        <v>177.5</v>
      </c>
    </row>
    <row r="41" spans="2:12" x14ac:dyDescent="0.25">
      <c r="B41" s="23" t="s">
        <v>248</v>
      </c>
      <c r="C41" s="24">
        <f>F$40</f>
        <v>67.2</v>
      </c>
      <c r="E41" s="23" t="s">
        <v>171</v>
      </c>
      <c r="F41" s="24">
        <v>67.2</v>
      </c>
      <c r="H41" s="14" t="s">
        <v>233</v>
      </c>
      <c r="I41" s="24">
        <f t="shared" si="1"/>
        <v>0</v>
      </c>
      <c r="J41" s="24">
        <v>0.5</v>
      </c>
      <c r="L41" s="14">
        <v>154</v>
      </c>
    </row>
    <row r="42" spans="2:12" x14ac:dyDescent="0.25">
      <c r="B42" s="23" t="s">
        <v>170</v>
      </c>
      <c r="C42" s="24">
        <v>58.1</v>
      </c>
      <c r="E42" s="23" t="s">
        <v>219</v>
      </c>
      <c r="F42" s="24">
        <v>57.9</v>
      </c>
      <c r="H42" s="14" t="s">
        <v>233</v>
      </c>
      <c r="I42" s="24">
        <f t="shared" si="1"/>
        <v>0.20000000000000284</v>
      </c>
      <c r="J42" s="24">
        <v>178</v>
      </c>
    </row>
    <row r="43" spans="2:12" x14ac:dyDescent="0.25">
      <c r="B43" s="23" t="s">
        <v>219</v>
      </c>
      <c r="C43" s="24">
        <f>F$40</f>
        <v>67.2</v>
      </c>
      <c r="E43" s="23" t="s">
        <v>249</v>
      </c>
      <c r="F43" s="24">
        <v>58</v>
      </c>
      <c r="H43" s="14" t="s">
        <v>240</v>
      </c>
      <c r="I43" s="24">
        <f t="shared" si="1"/>
        <v>9.2000000000000028</v>
      </c>
      <c r="J43" s="24">
        <f>J42+L43</f>
        <v>205</v>
      </c>
      <c r="L43" s="14">
        <v>27</v>
      </c>
    </row>
    <row r="44" spans="2:12" x14ac:dyDescent="0.25">
      <c r="B44" s="23" t="s">
        <v>249</v>
      </c>
      <c r="C44" s="24">
        <v>58.1</v>
      </c>
      <c r="E44" s="23" t="s">
        <v>172</v>
      </c>
      <c r="F44" s="24">
        <v>58.2</v>
      </c>
      <c r="H44" s="14" t="s">
        <v>252</v>
      </c>
      <c r="I44" s="24">
        <f t="shared" si="1"/>
        <v>-0.10000000000000142</v>
      </c>
      <c r="J44" s="24">
        <f>L44</f>
        <v>7</v>
      </c>
      <c r="L44" s="14">
        <v>7</v>
      </c>
    </row>
    <row r="45" spans="2:12" x14ac:dyDescent="0.25">
      <c r="B45" s="23" t="s">
        <v>219</v>
      </c>
      <c r="C45" s="24">
        <f>F$40</f>
        <v>67.2</v>
      </c>
      <c r="E45" s="23" t="s">
        <v>250</v>
      </c>
      <c r="F45" s="24">
        <v>58</v>
      </c>
      <c r="H45" s="14" t="s">
        <v>240</v>
      </c>
      <c r="I45" s="24">
        <f t="shared" si="1"/>
        <v>9.2000000000000028</v>
      </c>
      <c r="J45" s="24">
        <f>J43+L45</f>
        <v>209</v>
      </c>
      <c r="L45" s="14">
        <v>4</v>
      </c>
    </row>
    <row r="46" spans="2:12" x14ac:dyDescent="0.25">
      <c r="B46" s="23" t="s">
        <v>250</v>
      </c>
      <c r="C46" s="24">
        <v>58</v>
      </c>
      <c r="E46" s="23" t="s">
        <v>173</v>
      </c>
      <c r="F46" s="24">
        <v>57.9</v>
      </c>
      <c r="H46" s="14" t="s">
        <v>252</v>
      </c>
      <c r="I46" s="24">
        <f t="shared" si="1"/>
        <v>0.10000000000000142</v>
      </c>
      <c r="J46" s="24">
        <f>L46</f>
        <v>7</v>
      </c>
      <c r="L46" s="14">
        <v>7</v>
      </c>
    </row>
    <row r="47" spans="2:12" x14ac:dyDescent="0.25">
      <c r="B47" s="23" t="s">
        <v>219</v>
      </c>
      <c r="C47" s="24">
        <f>F$40</f>
        <v>67.2</v>
      </c>
      <c r="E47" s="23" t="s">
        <v>251</v>
      </c>
      <c r="F47" s="24">
        <v>55.61</v>
      </c>
      <c r="H47" s="14" t="s">
        <v>238</v>
      </c>
      <c r="I47" s="24">
        <f t="shared" si="1"/>
        <v>11.590000000000003</v>
      </c>
      <c r="J47" s="24">
        <f>J45+L47</f>
        <v>296</v>
      </c>
      <c r="L47" s="14">
        <v>87</v>
      </c>
    </row>
    <row r="48" spans="2:12" x14ac:dyDescent="0.25">
      <c r="B48" s="23" t="s">
        <v>251</v>
      </c>
      <c r="C48" s="24">
        <v>55.61</v>
      </c>
      <c r="E48" s="23" t="s">
        <v>174</v>
      </c>
      <c r="F48" s="24">
        <v>55.15</v>
      </c>
      <c r="H48" s="14" t="s">
        <v>233</v>
      </c>
      <c r="I48" s="24">
        <f t="shared" si="1"/>
        <v>0.46000000000000085</v>
      </c>
      <c r="J48" s="24">
        <f>L48</f>
        <v>5</v>
      </c>
      <c r="L48" s="14">
        <v>5</v>
      </c>
    </row>
    <row r="49" spans="2:12" x14ac:dyDescent="0.25">
      <c r="B49" s="23" t="s">
        <v>219</v>
      </c>
      <c r="C49" s="24">
        <f>F$40</f>
        <v>67.2</v>
      </c>
      <c r="E49" s="23" t="s">
        <v>175</v>
      </c>
      <c r="F49" s="24">
        <v>52.2</v>
      </c>
      <c r="H49" s="14" t="s">
        <v>231</v>
      </c>
      <c r="I49" s="24">
        <f t="shared" si="1"/>
        <v>15</v>
      </c>
      <c r="J49" s="24">
        <f>J47+L49</f>
        <v>360</v>
      </c>
      <c r="L49" s="14">
        <v>64</v>
      </c>
    </row>
  </sheetData>
  <mergeCells count="2">
    <mergeCell ref="E15:E16"/>
    <mergeCell ref="E11:E1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五股農民民單</vt:lpstr>
      <vt:lpstr>坑溝取水接管清冊</vt:lpstr>
      <vt:lpstr>先不用看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政憲 洪</dc:creator>
  <cp:lastModifiedBy>政憲 洪</cp:lastModifiedBy>
  <dcterms:created xsi:type="dcterms:W3CDTF">2026-03-31T09:59:29Z</dcterms:created>
  <dcterms:modified xsi:type="dcterms:W3CDTF">2026-05-12T06:19:28Z</dcterms:modified>
</cp:coreProperties>
</file>